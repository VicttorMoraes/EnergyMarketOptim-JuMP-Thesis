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tor.moraes\Desktop\GitHub\EnergyMarketOptim-JuMP-Thesis\results\"/>
    </mc:Choice>
  </mc:AlternateContent>
  <xr:revisionPtr revIDLastSave="0" documentId="13_ncr:1_{C712D62B-132C-4EAD-9394-76E60285B714}" xr6:coauthVersionLast="47" xr6:coauthVersionMax="47" xr10:uidLastSave="{00000000-0000-0000-0000-000000000000}"/>
  <bookViews>
    <workbookView xWindow="6390" yWindow="-9015" windowWidth="13830" windowHeight="7230" firstSheet="1" activeTab="2" xr2:uid="{CF7973A0-89DE-4C49-9302-C2689658F1F2}"/>
  </bookViews>
  <sheets>
    <sheet name="Valor Esperado E." sheetId="1" r:id="rId1"/>
    <sheet name="CVaR 30|05" sheetId="7" r:id="rId2"/>
    <sheet name="CVaR Cluster 1" sheetId="4" r:id="rId3"/>
    <sheet name="CVaR Cluster 2" sheetId="5" r:id="rId4"/>
    <sheet name="CVaR Cluster 3" sheetId="6" r:id="rId5"/>
    <sheet name="CVaR Cluster" sheetId="8" r:id="rId6"/>
  </sheets>
  <definedNames>
    <definedName name="_xlnm._FilterDatabase" localSheetId="1" hidden="1">'CVaR 30|05'!$A$30:$C$30</definedName>
    <definedName name="_xlnm._FilterDatabase" localSheetId="5" hidden="1">'CVaR Cluster'!$A$30:$C$30</definedName>
    <definedName name="_xlnm._FilterDatabase" localSheetId="0" hidden="1">'Valor Esperado E.'!$A$30:$C$30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8" i="8" l="1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F31" i="8"/>
  <c r="K27" i="8"/>
  <c r="M2" i="8" s="1"/>
  <c r="K2" i="8" a="1"/>
  <c r="K2" i="8" s="1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44" i="7"/>
  <c r="D143" i="7"/>
  <c r="D142" i="7"/>
  <c r="D141" i="7"/>
  <c r="D140" i="7"/>
  <c r="D139" i="7"/>
  <c r="D138" i="7"/>
  <c r="D137" i="7"/>
  <c r="D136" i="7"/>
  <c r="D135" i="7"/>
  <c r="D134" i="7"/>
  <c r="D133" i="7"/>
  <c r="D132" i="7"/>
  <c r="D131" i="7"/>
  <c r="D130" i="7"/>
  <c r="D129" i="7"/>
  <c r="D128" i="7"/>
  <c r="D127" i="7"/>
  <c r="D126" i="7"/>
  <c r="D125" i="7"/>
  <c r="D124" i="7"/>
  <c r="D123" i="7"/>
  <c r="D122" i="7"/>
  <c r="D121" i="7"/>
  <c r="D120" i="7"/>
  <c r="D119" i="7"/>
  <c r="D118" i="7"/>
  <c r="D117" i="7"/>
  <c r="D116" i="7"/>
  <c r="D115" i="7"/>
  <c r="D114" i="7"/>
  <c r="D113" i="7"/>
  <c r="D112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E31" i="7"/>
  <c r="K27" i="7"/>
  <c r="M2" i="7" s="1"/>
  <c r="T1" i="7" s="1"/>
  <c r="K2" i="7" a="1"/>
  <c r="K2" i="7" s="1"/>
  <c r="D31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M3" i="8" l="1"/>
  <c r="M4" i="8" s="1"/>
  <c r="M5" i="8" s="1"/>
  <c r="M6" i="8" s="1"/>
  <c r="M7" i="8" s="1"/>
  <c r="M8" i="8" s="1"/>
  <c r="M9" i="8" s="1"/>
  <c r="M10" i="8" s="1"/>
  <c r="M11" i="8" s="1"/>
  <c r="M12" i="8" s="1"/>
  <c r="M13" i="8" s="1"/>
  <c r="M14" i="8" s="1"/>
  <c r="M15" i="8" s="1"/>
  <c r="M16" i="8" s="1"/>
  <c r="M17" i="8" s="1"/>
  <c r="M18" i="8" s="1"/>
  <c r="M19" i="8" s="1"/>
  <c r="M20" i="8" s="1"/>
  <c r="M21" i="8" s="1"/>
  <c r="M22" i="8" s="1"/>
  <c r="M23" i="8" s="1"/>
  <c r="M24" i="8" s="1"/>
  <c r="M25" i="8" s="1"/>
  <c r="T1" i="8"/>
  <c r="M3" i="7"/>
  <c r="M4" i="7" s="1"/>
  <c r="M5" i="7" s="1"/>
  <c r="M6" i="7" s="1"/>
  <c r="M7" i="7" s="1"/>
  <c r="M8" i="7" s="1"/>
  <c r="M9" i="7" s="1"/>
  <c r="M10" i="7" s="1"/>
  <c r="M11" i="7" s="1"/>
  <c r="M12" i="7" s="1"/>
  <c r="M13" i="7" s="1"/>
  <c r="M14" i="7" s="1"/>
  <c r="M15" i="7" s="1"/>
  <c r="M16" i="7" s="1"/>
  <c r="M17" i="7" s="1"/>
  <c r="M18" i="7" s="1"/>
  <c r="M19" i="7" s="1"/>
  <c r="M20" i="7" s="1"/>
  <c r="M21" i="7" s="1"/>
  <c r="M22" i="7" s="1"/>
  <c r="M23" i="7" s="1"/>
  <c r="M24" i="7" s="1"/>
  <c r="M25" i="7" s="1"/>
  <c r="A30" i="4" a="1"/>
  <c r="A30" i="4" s="1"/>
  <c r="A31" i="4" a="1"/>
  <c r="A31" i="4" s="1"/>
  <c r="B31" i="4" a="1"/>
  <c r="B31" i="4" s="1"/>
  <c r="C31" i="4" a="1"/>
  <c r="C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M2" i="4" a="1"/>
  <c r="M2" i="4" s="1"/>
  <c r="M2" i="6"/>
  <c r="M3" i="6" s="1"/>
  <c r="M4" i="6" s="1"/>
  <c r="M5" i="6" s="1"/>
  <c r="M6" i="6" s="1"/>
  <c r="M7" i="6" s="1"/>
  <c r="M8" i="6" s="1"/>
  <c r="M9" i="6" s="1"/>
  <c r="M10" i="6" s="1"/>
  <c r="M11" i="6" s="1"/>
  <c r="M12" i="6" s="1"/>
  <c r="M13" i="6" s="1"/>
  <c r="M14" i="6" s="1"/>
  <c r="M15" i="6" s="1"/>
  <c r="M16" i="6" s="1"/>
  <c r="M17" i="6" s="1"/>
  <c r="M18" i="6" s="1"/>
  <c r="M19" i="6" s="1"/>
  <c r="M20" i="6" s="1"/>
  <c r="M21" i="6" s="1"/>
  <c r="M22" i="6" s="1"/>
  <c r="M23" i="6" s="1"/>
  <c r="M24" i="6" s="1"/>
  <c r="M25" i="6" s="1"/>
  <c r="K2" i="6" a="1"/>
  <c r="K2" i="6" s="1"/>
  <c r="T1" i="6"/>
  <c r="M2" i="5" l="1"/>
  <c r="M3" i="5" s="1"/>
  <c r="M4" i="5" s="1"/>
  <c r="M5" i="5" s="1"/>
  <c r="M6" i="5" s="1"/>
  <c r="M7" i="5" s="1"/>
  <c r="M8" i="5" s="1"/>
  <c r="M9" i="5" s="1"/>
  <c r="M10" i="5" s="1"/>
  <c r="M11" i="5" s="1"/>
  <c r="M12" i="5" s="1"/>
  <c r="M13" i="5" s="1"/>
  <c r="M14" i="5" s="1"/>
  <c r="M15" i="5" s="1"/>
  <c r="M16" i="5" s="1"/>
  <c r="M17" i="5" s="1"/>
  <c r="M18" i="5" s="1"/>
  <c r="M19" i="5" s="1"/>
  <c r="M20" i="5" s="1"/>
  <c r="M21" i="5" s="1"/>
  <c r="M22" i="5" s="1"/>
  <c r="M23" i="5" s="1"/>
  <c r="M24" i="5" s="1"/>
  <c r="M25" i="5" s="1"/>
  <c r="K2" i="5" a="1"/>
  <c r="K2" i="5" s="1"/>
  <c r="T1" i="5"/>
  <c r="M3" i="4"/>
  <c r="M4" i="4" s="1"/>
  <c r="M5" i="4" s="1"/>
  <c r="M6" i="4" s="1"/>
  <c r="M7" i="4" s="1"/>
  <c r="M8" i="4" s="1"/>
  <c r="M9" i="4" s="1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M21" i="4" s="1"/>
  <c r="M22" i="4" s="1"/>
  <c r="M23" i="4" s="1"/>
  <c r="M24" i="4" s="1"/>
  <c r="M25" i="4" s="1"/>
  <c r="K2" i="4" a="1"/>
  <c r="K2" i="4" s="1"/>
  <c r="T1" i="4"/>
  <c r="K27" i="1" l="1"/>
  <c r="M2" i="1" s="1"/>
  <c r="K2" i="1" a="1"/>
  <c r="K2" i="1" s="1"/>
  <c r="M3" i="1" l="1"/>
  <c r="M4" i="1" s="1"/>
  <c r="M5" i="1" s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T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<sst xmlns="http://schemas.openxmlformats.org/spreadsheetml/2006/main" count="21" uniqueCount="5">
  <si>
    <t>offset</t>
  </si>
  <si>
    <t>1 a 10</t>
  </si>
  <si>
    <t>bid</t>
  </si>
  <si>
    <t>[E.]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</si>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</sst>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"/>
    <numFmt numFmtId="165" formatCode="_-* #,##0_-;\-* #,##0_-;_-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">
    <xf numFmtId="0" fontId="0" fillId="0" borderId="0" xfId="0"/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65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'Valor Esperado E.'!$T$1</c:f>
          <c:strCache>
            <c:ptCount val="1"/>
            <c:pt idx="0">
              <c:v>Curva de oferta para lance de 96 USD/MWh</c:v>
            </c:pt>
          </c:strCache>
        </c:strRef>
      </c:tx>
      <c:layout>
        <c:manualLayout>
          <c:xMode val="edge"/>
          <c:yMode val="edge"/>
          <c:x val="2.1456944444444452E-2"/>
          <c:y val="3.20707070707070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'Valor Esperado E.'!$K$2:$K$25</c:f>
              <c:numCache>
                <c:formatCode>General</c:formatCode>
                <c:ptCount val="2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A1-49B0-8E21-B3DEF5BAF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23630927"/>
        <c:axId val="344350863"/>
      </c:barChart>
      <c:lineChart>
        <c:grouping val="standard"/>
        <c:varyColors val="0"/>
        <c:ser>
          <c:idx val="2"/>
          <c:order val="1"/>
          <c:spPr>
            <a:ln w="15875" cmpd="sng">
              <a:solidFill>
                <a:schemeClr val="accent3">
                  <a:lumMod val="60000"/>
                  <a:lumOff val="4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'Valor Esperado E.'!$N$2:$N$25</c:f>
              <c:numCache>
                <c:formatCode>0</c:formatCode>
                <c:ptCount val="24"/>
                <c:pt idx="0">
                  <c:v>24.73342465753424</c:v>
                </c:pt>
                <c:pt idx="1">
                  <c:v>22.984890109890117</c:v>
                </c:pt>
                <c:pt idx="2">
                  <c:v>22.406027397260253</c:v>
                </c:pt>
                <c:pt idx="3">
                  <c:v>22.927123287671225</c:v>
                </c:pt>
                <c:pt idx="4">
                  <c:v>23.781095890410938</c:v>
                </c:pt>
                <c:pt idx="5">
                  <c:v>29.399178082191789</c:v>
                </c:pt>
                <c:pt idx="6">
                  <c:v>40.273698630136963</c:v>
                </c:pt>
                <c:pt idx="7">
                  <c:v>41.226575342465772</c:v>
                </c:pt>
                <c:pt idx="8">
                  <c:v>27.730410958904081</c:v>
                </c:pt>
                <c:pt idx="9">
                  <c:v>22.380273972602751</c:v>
                </c:pt>
                <c:pt idx="10">
                  <c:v>22.114520547945197</c:v>
                </c:pt>
                <c:pt idx="11">
                  <c:v>23.516986301369855</c:v>
                </c:pt>
                <c:pt idx="12">
                  <c:v>25.463013698630146</c:v>
                </c:pt>
                <c:pt idx="13">
                  <c:v>33.870410958904074</c:v>
                </c:pt>
                <c:pt idx="14">
                  <c:v>56.632054794520521</c:v>
                </c:pt>
                <c:pt idx="15">
                  <c:v>89.707123287671195</c:v>
                </c:pt>
                <c:pt idx="16">
                  <c:v>127.8057534246576</c:v>
                </c:pt>
                <c:pt idx="17">
                  <c:v>112.04246575342459</c:v>
                </c:pt>
                <c:pt idx="18">
                  <c:v>142.42575342465781</c:v>
                </c:pt>
                <c:pt idx="19">
                  <c:v>229.60082191780819</c:v>
                </c:pt>
                <c:pt idx="20">
                  <c:v>120.10849315068492</c:v>
                </c:pt>
                <c:pt idx="21">
                  <c:v>38.345753424657516</c:v>
                </c:pt>
                <c:pt idx="22">
                  <c:v>30.174246575342462</c:v>
                </c:pt>
                <c:pt idx="23">
                  <c:v>25.041095890410951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6CA1-49B0-8E21-B3DEF5BAF8AA}"/>
            </c:ext>
          </c:extLst>
        </c:ser>
        <c:ser>
          <c:idx val="0"/>
          <c:order val="2"/>
          <c:spPr>
            <a:ln w="15875" cmpd="sng">
              <a:solidFill>
                <a:schemeClr val="accent4"/>
              </a:solidFill>
              <a:prstDash val="solid"/>
            </a:ln>
            <a:effectLst/>
          </c:spPr>
          <c:marker>
            <c:symbol val="none"/>
          </c:marker>
          <c:val>
            <c:numRef>
              <c:f>'Valor Esperado E.'!$M$2:$M$25</c:f>
              <c:numCache>
                <c:formatCode>General</c:formatCode>
                <c:ptCount val="24"/>
                <c:pt idx="0">
                  <c:v>96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96</c:v>
                </c:pt>
                <c:pt idx="10">
                  <c:v>96</c:v>
                </c:pt>
                <c:pt idx="11">
                  <c:v>96</c:v>
                </c:pt>
                <c:pt idx="12">
                  <c:v>96</c:v>
                </c:pt>
                <c:pt idx="13">
                  <c:v>96</c:v>
                </c:pt>
                <c:pt idx="14">
                  <c:v>96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CA1-49B0-8E21-B3DEF5BAF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2230656"/>
        <c:axId val="1470513360"/>
      </c:lineChart>
      <c:catAx>
        <c:axId val="18922306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6350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513360"/>
        <c:crosses val="autoZero"/>
        <c:auto val="1"/>
        <c:lblAlgn val="ctr"/>
        <c:lblOffset val="100"/>
        <c:tickLblSkip val="4"/>
        <c:tickMarkSkip val="2"/>
        <c:noMultiLvlLbl val="0"/>
      </c:catAx>
      <c:valAx>
        <c:axId val="1470513360"/>
        <c:scaling>
          <c:orientation val="minMax"/>
          <c:max val="250"/>
        </c:scaling>
        <c:delete val="0"/>
        <c:axPos val="l"/>
        <c:majorGridlines>
          <c:spPr>
            <a:ln w="3175" cap="flat" cmpd="sng" algn="ctr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230656"/>
        <c:crosses val="autoZero"/>
        <c:crossBetween val="between"/>
        <c:majorUnit val="50"/>
      </c:valAx>
      <c:valAx>
        <c:axId val="344350863"/>
        <c:scaling>
          <c:orientation val="minMax"/>
          <c:max val="15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600" baseline="0">
                <a:solidFill>
                  <a:schemeClr val="tx1">
                    <a:lumMod val="65000"/>
                    <a:lumOff val="35000"/>
                  </a:schemeClr>
                </a:solidFill>
              </a:defRPr>
            </a:pPr>
            <a:endParaRPr lang="en-US"/>
          </a:p>
        </c:txPr>
        <c:crossAx val="1223630927"/>
        <c:crosses val="max"/>
        <c:crossBetween val="between"/>
        <c:majorUnit val="50"/>
      </c:valAx>
      <c:catAx>
        <c:axId val="1223630927"/>
        <c:scaling>
          <c:orientation val="minMax"/>
        </c:scaling>
        <c:delete val="1"/>
        <c:axPos val="b"/>
        <c:majorTickMark val="out"/>
        <c:minorTickMark val="none"/>
        <c:tickLblPos val="nextTo"/>
        <c:crossAx val="344350863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</c:spPr>
    </c:plotArea>
    <c:plotVisOnly val="1"/>
    <c:dispBlanksAs val="gap"/>
    <c:showDLblsOverMax val="0"/>
    <c:extLst/>
  </c:chart>
  <c:spPr>
    <a:solidFill>
      <a:schemeClr val="bg1"/>
    </a:solidFill>
    <a:ln>
      <a:solidFill>
        <a:schemeClr val="accent3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/>
              <a:t>Curva de receita para os</a:t>
            </a:r>
            <a:r>
              <a:rPr lang="en-US" sz="800" baseline="0"/>
              <a:t> cenários - Sem CVaR</a:t>
            </a:r>
            <a:endParaRPr lang="en-US" sz="800"/>
          </a:p>
        </c:rich>
      </c:tx>
      <c:layout>
        <c:manualLayout>
          <c:xMode val="edge"/>
          <c:yMode val="edge"/>
          <c:x val="2.3544359438518476E-2"/>
          <c:y val="2.35643735762701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val>
            <c:numRef>
              <c:f>'Valor Esperado E.'!$B$31:$B$158</c:f>
              <c:numCache>
                <c:formatCode>_-* #,##0_-;\-* #,##0_-;_-* "-"??_-;_-@_-</c:formatCode>
                <c:ptCount val="128"/>
                <c:pt idx="0">
                  <c:v>-58.12300045202786</c:v>
                </c:pt>
                <c:pt idx="1">
                  <c:v>-42.470988605225223</c:v>
                </c:pt>
                <c:pt idx="2">
                  <c:v>-19.20282270433454</c:v>
                </c:pt>
                <c:pt idx="3">
                  <c:v>-12.891704341435101</c:v>
                </c:pt>
                <c:pt idx="4">
                  <c:v>-11.670093175127757</c:v>
                </c:pt>
                <c:pt idx="5">
                  <c:v>-11.306733579409483</c:v>
                </c:pt>
                <c:pt idx="6">
                  <c:v>-3.4460998794796214</c:v>
                </c:pt>
                <c:pt idx="7">
                  <c:v>-3.2929751588113443</c:v>
                </c:pt>
                <c:pt idx="8">
                  <c:v>-2.4384136522345772</c:v>
                </c:pt>
                <c:pt idx="9">
                  <c:v>-2.3066221016785615</c:v>
                </c:pt>
                <c:pt idx="10">
                  <c:v>-1.9881037513978908</c:v>
                </c:pt>
                <c:pt idx="11">
                  <c:v>-0.10160393218531136</c:v>
                </c:pt>
                <c:pt idx="12">
                  <c:v>1.8050486729575796</c:v>
                </c:pt>
                <c:pt idx="13">
                  <c:v>2.4294063603223366</c:v>
                </c:pt>
                <c:pt idx="14">
                  <c:v>5.0502892404216952</c:v>
                </c:pt>
                <c:pt idx="15">
                  <c:v>7.7771145511483217</c:v>
                </c:pt>
                <c:pt idx="16">
                  <c:v>8.2397599974789433</c:v>
                </c:pt>
                <c:pt idx="17">
                  <c:v>9.9011180188295285</c:v>
                </c:pt>
                <c:pt idx="18">
                  <c:v>11.038215485317817</c:v>
                </c:pt>
                <c:pt idx="19">
                  <c:v>12.707404052716612</c:v>
                </c:pt>
                <c:pt idx="20">
                  <c:v>13.156009318283848</c:v>
                </c:pt>
                <c:pt idx="21">
                  <c:v>14.548890915259983</c:v>
                </c:pt>
                <c:pt idx="22">
                  <c:v>16.507131070943878</c:v>
                </c:pt>
                <c:pt idx="23">
                  <c:v>16.817849591941396</c:v>
                </c:pt>
                <c:pt idx="24">
                  <c:v>18.243261652229606</c:v>
                </c:pt>
                <c:pt idx="25">
                  <c:v>19.812600321363011</c:v>
                </c:pt>
                <c:pt idx="26">
                  <c:v>21.865646804774464</c:v>
                </c:pt>
                <c:pt idx="27">
                  <c:v>22.51873364973542</c:v>
                </c:pt>
                <c:pt idx="28">
                  <c:v>23.55051752668399</c:v>
                </c:pt>
                <c:pt idx="29">
                  <c:v>23.842790772127007</c:v>
                </c:pt>
                <c:pt idx="30">
                  <c:v>24.916367043314583</c:v>
                </c:pt>
                <c:pt idx="31">
                  <c:v>26.693083666041595</c:v>
                </c:pt>
                <c:pt idx="32">
                  <c:v>27.0244652454464</c:v>
                </c:pt>
                <c:pt idx="33">
                  <c:v>27.239432045181996</c:v>
                </c:pt>
                <c:pt idx="34">
                  <c:v>27.512329478986665</c:v>
                </c:pt>
                <c:pt idx="35">
                  <c:v>28.093296052737326</c:v>
                </c:pt>
                <c:pt idx="36">
                  <c:v>28.524398392944789</c:v>
                </c:pt>
                <c:pt idx="37">
                  <c:v>29.096364640203912</c:v>
                </c:pt>
                <c:pt idx="38">
                  <c:v>29.494673951049023</c:v>
                </c:pt>
                <c:pt idx="39">
                  <c:v>29.908514927822974</c:v>
                </c:pt>
                <c:pt idx="40">
                  <c:v>30.859231256809945</c:v>
                </c:pt>
                <c:pt idx="41">
                  <c:v>31.539379964868999</c:v>
                </c:pt>
                <c:pt idx="42">
                  <c:v>32.363883332029609</c:v>
                </c:pt>
                <c:pt idx="43">
                  <c:v>34.110645358437203</c:v>
                </c:pt>
                <c:pt idx="44">
                  <c:v>35.335725047084821</c:v>
                </c:pt>
                <c:pt idx="45">
                  <c:v>35.886127296929793</c:v>
                </c:pt>
                <c:pt idx="46">
                  <c:v>36.207092170737454</c:v>
                </c:pt>
                <c:pt idx="47">
                  <c:v>36.423813217779355</c:v>
                </c:pt>
                <c:pt idx="48">
                  <c:v>39.104760936575964</c:v>
                </c:pt>
                <c:pt idx="49">
                  <c:v>40.051386400371229</c:v>
                </c:pt>
                <c:pt idx="50">
                  <c:v>41.586399683660268</c:v>
                </c:pt>
                <c:pt idx="51">
                  <c:v>42.463873993694612</c:v>
                </c:pt>
                <c:pt idx="52">
                  <c:v>43.088131746381862</c:v>
                </c:pt>
                <c:pt idx="53">
                  <c:v>44.442873079704647</c:v>
                </c:pt>
                <c:pt idx="54">
                  <c:v>44.888713807887989</c:v>
                </c:pt>
                <c:pt idx="55">
                  <c:v>46.403904399227123</c:v>
                </c:pt>
                <c:pt idx="56">
                  <c:v>47.284512703093327</c:v>
                </c:pt>
                <c:pt idx="57">
                  <c:v>48.157646772114951</c:v>
                </c:pt>
                <c:pt idx="58">
                  <c:v>49.307205820480085</c:v>
                </c:pt>
                <c:pt idx="59">
                  <c:v>50.224316856250553</c:v>
                </c:pt>
                <c:pt idx="60">
                  <c:v>50.430239444961131</c:v>
                </c:pt>
                <c:pt idx="61">
                  <c:v>50.964811746369641</c:v>
                </c:pt>
                <c:pt idx="62">
                  <c:v>51.399746352744479</c:v>
                </c:pt>
                <c:pt idx="63">
                  <c:v>52.2572967255945</c:v>
                </c:pt>
                <c:pt idx="64">
                  <c:v>53.879420552398351</c:v>
                </c:pt>
                <c:pt idx="65">
                  <c:v>54.127266930262898</c:v>
                </c:pt>
                <c:pt idx="66">
                  <c:v>54.916172248395398</c:v>
                </c:pt>
                <c:pt idx="67">
                  <c:v>55.653505855564141</c:v>
                </c:pt>
                <c:pt idx="68">
                  <c:v>56.419764818513066</c:v>
                </c:pt>
                <c:pt idx="69">
                  <c:v>56.947272615221401</c:v>
                </c:pt>
                <c:pt idx="70">
                  <c:v>57.146980354051898</c:v>
                </c:pt>
                <c:pt idx="71">
                  <c:v>57.811373802848358</c:v>
                </c:pt>
                <c:pt idx="72">
                  <c:v>58.334224821074272</c:v>
                </c:pt>
                <c:pt idx="73">
                  <c:v>58.631891658603777</c:v>
                </c:pt>
                <c:pt idx="74">
                  <c:v>59.608755440033818</c:v>
                </c:pt>
                <c:pt idx="75">
                  <c:v>59.920540027614457</c:v>
                </c:pt>
                <c:pt idx="76">
                  <c:v>61.439672951681793</c:v>
                </c:pt>
                <c:pt idx="77">
                  <c:v>63.066299789050156</c:v>
                </c:pt>
                <c:pt idx="78">
                  <c:v>63.985932215978366</c:v>
                </c:pt>
                <c:pt idx="79">
                  <c:v>65.304570694310669</c:v>
                </c:pt>
                <c:pt idx="80">
                  <c:v>66.492638295290774</c:v>
                </c:pt>
                <c:pt idx="81">
                  <c:v>67.007903748905761</c:v>
                </c:pt>
                <c:pt idx="82">
                  <c:v>68.200248672942678</c:v>
                </c:pt>
                <c:pt idx="83">
                  <c:v>69.4736295291939</c:v>
                </c:pt>
                <c:pt idx="84">
                  <c:v>72.51592739484353</c:v>
                </c:pt>
                <c:pt idx="85">
                  <c:v>75.313432760859513</c:v>
                </c:pt>
                <c:pt idx="86">
                  <c:v>78.239269875699364</c:v>
                </c:pt>
                <c:pt idx="87">
                  <c:v>79.645894794751115</c:v>
                </c:pt>
                <c:pt idx="88">
                  <c:v>81.654331849412713</c:v>
                </c:pt>
                <c:pt idx="89">
                  <c:v>82.380453747629403</c:v>
                </c:pt>
                <c:pt idx="90">
                  <c:v>84.013576130513528</c:v>
                </c:pt>
                <c:pt idx="91">
                  <c:v>86.472853170084903</c:v>
                </c:pt>
                <c:pt idx="92">
                  <c:v>87.21768838923262</c:v>
                </c:pt>
                <c:pt idx="93">
                  <c:v>88.147241034509435</c:v>
                </c:pt>
                <c:pt idx="94">
                  <c:v>89.277669810483388</c:v>
                </c:pt>
                <c:pt idx="95">
                  <c:v>89.996669755202632</c:v>
                </c:pt>
                <c:pt idx="96">
                  <c:v>90.398871008137618</c:v>
                </c:pt>
                <c:pt idx="97">
                  <c:v>91.901524574884903</c:v>
                </c:pt>
                <c:pt idx="98">
                  <c:v>92.964963188937105</c:v>
                </c:pt>
                <c:pt idx="99">
                  <c:v>94.772104361644026</c:v>
                </c:pt>
                <c:pt idx="100">
                  <c:v>97.724614392976193</c:v>
                </c:pt>
                <c:pt idx="101">
                  <c:v>102.89101825990336</c:v>
                </c:pt>
                <c:pt idx="102">
                  <c:v>105.26812377650516</c:v>
                </c:pt>
                <c:pt idx="103">
                  <c:v>109.39136067793395</c:v>
                </c:pt>
                <c:pt idx="104">
                  <c:v>112.9414639346824</c:v>
                </c:pt>
                <c:pt idx="105">
                  <c:v>115.08531489017425</c:v>
                </c:pt>
                <c:pt idx="106">
                  <c:v>117.09773482473679</c:v>
                </c:pt>
                <c:pt idx="107">
                  <c:v>119.19755535711894</c:v>
                </c:pt>
                <c:pt idx="108">
                  <c:v>121.63052724167673</c:v>
                </c:pt>
                <c:pt idx="109">
                  <c:v>123.20998847962956</c:v>
                </c:pt>
                <c:pt idx="110">
                  <c:v>126.37950048465289</c:v>
                </c:pt>
                <c:pt idx="111">
                  <c:v>135.09797410169963</c:v>
                </c:pt>
                <c:pt idx="112">
                  <c:v>149.16714827370103</c:v>
                </c:pt>
                <c:pt idx="113">
                  <c:v>153.77462884372466</c:v>
                </c:pt>
                <c:pt idx="114">
                  <c:v>160.5808526955521</c:v>
                </c:pt>
                <c:pt idx="115">
                  <c:v>164.52962333961437</c:v>
                </c:pt>
                <c:pt idx="116">
                  <c:v>178.07568556318088</c:v>
                </c:pt>
                <c:pt idx="117">
                  <c:v>191.84138580543609</c:v>
                </c:pt>
                <c:pt idx="118">
                  <c:v>215.21483561333295</c:v>
                </c:pt>
                <c:pt idx="119">
                  <c:v>227.10344966185824</c:v>
                </c:pt>
                <c:pt idx="120">
                  <c:v>260.01485843979282</c:v>
                </c:pt>
                <c:pt idx="121">
                  <c:v>292.28192551159242</c:v>
                </c:pt>
                <c:pt idx="122">
                  <c:v>330.6188479509126</c:v>
                </c:pt>
                <c:pt idx="123">
                  <c:v>344.11843907045068</c:v>
                </c:pt>
                <c:pt idx="124">
                  <c:v>354.94151750608268</c:v>
                </c:pt>
                <c:pt idx="125">
                  <c:v>427.69785106860121</c:v>
                </c:pt>
                <c:pt idx="126">
                  <c:v>484.65879645203722</c:v>
                </c:pt>
                <c:pt idx="127">
                  <c:v>741.39498838162729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F1-4779-B35C-6816A3A94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737183"/>
        <c:axId val="52383183"/>
      </c:lineChart>
      <c:catAx>
        <c:axId val="146737183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Cenários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crossAx val="52383183"/>
        <c:crosses val="autoZero"/>
        <c:auto val="1"/>
        <c:lblAlgn val="ctr"/>
        <c:lblOffset val="100"/>
        <c:noMultiLvlLbl val="0"/>
      </c:catAx>
      <c:valAx>
        <c:axId val="52383183"/>
        <c:scaling>
          <c:orientation val="minMax"/>
          <c:max val="8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Ganho</a:t>
                </a:r>
                <a:r>
                  <a:rPr lang="en-US" baseline="0"/>
                  <a:t> Financeiro (k USD)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.##0_-;\-* #.##0_-;_-* &quot;-&quot;??_-;_-@_-" sourceLinked="0"/>
        <c:majorTickMark val="out"/>
        <c:minorTickMark val="none"/>
        <c:tickLblPos val="nextTo"/>
        <c:spPr>
          <a:noFill/>
          <a:ln>
            <a:solidFill>
              <a:schemeClr val="tx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37183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'CVaR 30|05'!$T$1</c:f>
          <c:strCache>
            <c:ptCount val="1"/>
            <c:pt idx="0">
              <c:v>Curva de oferta para lance de 96 USD/MWh</c:v>
            </c:pt>
          </c:strCache>
        </c:strRef>
      </c:tx>
      <c:layout>
        <c:manualLayout>
          <c:xMode val="edge"/>
          <c:yMode val="edge"/>
          <c:x val="2.1456944444444452E-2"/>
          <c:y val="3.20707070707070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'CVaR 30|05'!$K$2:$K$25</c:f>
              <c:numCache>
                <c:formatCode>General</c:formatCode>
                <c:ptCount val="2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54.983598882759402</c:v>
                </c:pt>
                <c:pt idx="7">
                  <c:v>69.299220135985365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6.1130194705613849</c:v>
                </c:pt>
                <c:pt idx="15">
                  <c:v>5.6319092144995233</c:v>
                </c:pt>
                <c:pt idx="16">
                  <c:v>2.8308249728051589</c:v>
                </c:pt>
                <c:pt idx="17">
                  <c:v>0.85376952854306998</c:v>
                </c:pt>
                <c:pt idx="18">
                  <c:v>0</c:v>
                </c:pt>
                <c:pt idx="19">
                  <c:v>0</c:v>
                </c:pt>
                <c:pt idx="20">
                  <c:v>5.3357756948753873E-2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5C-4642-9DD3-FD3057FD4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23630927"/>
        <c:axId val="344350863"/>
      </c:barChart>
      <c:lineChart>
        <c:grouping val="standard"/>
        <c:varyColors val="0"/>
        <c:ser>
          <c:idx val="2"/>
          <c:order val="1"/>
          <c:spPr>
            <a:ln w="19050" cmpd="sng">
              <a:solidFill>
                <a:schemeClr val="accent3">
                  <a:lumMod val="60000"/>
                  <a:lumOff val="4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'CVaR 30|05'!$N$2:$N$25</c:f>
              <c:numCache>
                <c:formatCode>0</c:formatCode>
                <c:ptCount val="24"/>
                <c:pt idx="0">
                  <c:v>24.73342465753424</c:v>
                </c:pt>
                <c:pt idx="1">
                  <c:v>22.984890109890117</c:v>
                </c:pt>
                <c:pt idx="2">
                  <c:v>22.406027397260253</c:v>
                </c:pt>
                <c:pt idx="3">
                  <c:v>22.927123287671225</c:v>
                </c:pt>
                <c:pt idx="4">
                  <c:v>23.781095890410938</c:v>
                </c:pt>
                <c:pt idx="5">
                  <c:v>29.399178082191789</c:v>
                </c:pt>
                <c:pt idx="6">
                  <c:v>40.273698630136963</c:v>
                </c:pt>
                <c:pt idx="7">
                  <c:v>41.226575342465772</c:v>
                </c:pt>
                <c:pt idx="8">
                  <c:v>27.730410958904081</c:v>
                </c:pt>
                <c:pt idx="9">
                  <c:v>22.380273972602751</c:v>
                </c:pt>
                <c:pt idx="10">
                  <c:v>22.114520547945197</c:v>
                </c:pt>
                <c:pt idx="11">
                  <c:v>23.516986301369855</c:v>
                </c:pt>
                <c:pt idx="12">
                  <c:v>25.463013698630146</c:v>
                </c:pt>
                <c:pt idx="13">
                  <c:v>33.870410958904074</c:v>
                </c:pt>
                <c:pt idx="14">
                  <c:v>56.632054794520521</c:v>
                </c:pt>
                <c:pt idx="15">
                  <c:v>89.707123287671195</c:v>
                </c:pt>
                <c:pt idx="16">
                  <c:v>127.8057534246576</c:v>
                </c:pt>
                <c:pt idx="17">
                  <c:v>112.04246575342459</c:v>
                </c:pt>
                <c:pt idx="18">
                  <c:v>142.42575342465781</c:v>
                </c:pt>
                <c:pt idx="19">
                  <c:v>229.60082191780819</c:v>
                </c:pt>
                <c:pt idx="20">
                  <c:v>120.10849315068492</c:v>
                </c:pt>
                <c:pt idx="21">
                  <c:v>38.345753424657516</c:v>
                </c:pt>
                <c:pt idx="22">
                  <c:v>30.174246575342462</c:v>
                </c:pt>
                <c:pt idx="23">
                  <c:v>25.041095890410951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A5C-4642-9DD3-FD3057FD4C8A}"/>
            </c:ext>
          </c:extLst>
        </c:ser>
        <c:ser>
          <c:idx val="0"/>
          <c:order val="2"/>
          <c:spPr>
            <a:ln cmpd="sng">
              <a:solidFill>
                <a:schemeClr val="accent4"/>
              </a:solidFill>
              <a:prstDash val="solid"/>
            </a:ln>
            <a:effectLst/>
          </c:spPr>
          <c:marker>
            <c:symbol val="none"/>
          </c:marker>
          <c:val>
            <c:numRef>
              <c:f>'CVaR 30|05'!$M$2:$M$25</c:f>
              <c:numCache>
                <c:formatCode>General</c:formatCode>
                <c:ptCount val="24"/>
                <c:pt idx="0">
                  <c:v>96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96</c:v>
                </c:pt>
                <c:pt idx="10">
                  <c:v>96</c:v>
                </c:pt>
                <c:pt idx="11">
                  <c:v>96</c:v>
                </c:pt>
                <c:pt idx="12">
                  <c:v>96</c:v>
                </c:pt>
                <c:pt idx="13">
                  <c:v>96</c:v>
                </c:pt>
                <c:pt idx="14">
                  <c:v>96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5C-4642-9DD3-FD3057FD4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2230656"/>
        <c:axId val="1470513360"/>
      </c:lineChart>
      <c:catAx>
        <c:axId val="18922306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6350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513360"/>
        <c:crosses val="autoZero"/>
        <c:auto val="1"/>
        <c:lblAlgn val="ctr"/>
        <c:lblOffset val="100"/>
        <c:tickLblSkip val="4"/>
        <c:tickMarkSkip val="2"/>
        <c:noMultiLvlLbl val="0"/>
      </c:catAx>
      <c:valAx>
        <c:axId val="1470513360"/>
        <c:scaling>
          <c:orientation val="minMax"/>
          <c:max val="250"/>
        </c:scaling>
        <c:delete val="0"/>
        <c:axPos val="l"/>
        <c:majorGridlines>
          <c:spPr>
            <a:ln w="3175" cap="flat" cmpd="sng" algn="ctr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230656"/>
        <c:crosses val="autoZero"/>
        <c:crossBetween val="between"/>
        <c:majorUnit val="50"/>
      </c:valAx>
      <c:valAx>
        <c:axId val="344350863"/>
        <c:scaling>
          <c:orientation val="minMax"/>
          <c:max val="15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600" baseline="0">
                <a:solidFill>
                  <a:schemeClr val="tx1">
                    <a:lumMod val="65000"/>
                    <a:lumOff val="35000"/>
                  </a:schemeClr>
                </a:solidFill>
              </a:defRPr>
            </a:pPr>
            <a:endParaRPr lang="en-US"/>
          </a:p>
        </c:txPr>
        <c:crossAx val="1223630927"/>
        <c:crosses val="max"/>
        <c:crossBetween val="between"/>
        <c:majorUnit val="50"/>
      </c:valAx>
      <c:catAx>
        <c:axId val="1223630927"/>
        <c:scaling>
          <c:orientation val="minMax"/>
        </c:scaling>
        <c:delete val="1"/>
        <c:axPos val="b"/>
        <c:majorTickMark val="out"/>
        <c:minorTickMark val="none"/>
        <c:tickLblPos val="nextTo"/>
        <c:crossAx val="344350863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</c:spPr>
    </c:plotArea>
    <c:plotVisOnly val="1"/>
    <c:dispBlanksAs val="gap"/>
    <c:showDLblsOverMax val="0"/>
    <c:extLst/>
  </c:chart>
  <c:spPr>
    <a:solidFill>
      <a:schemeClr val="bg1"/>
    </a:solidFill>
    <a:ln>
      <a:solidFill>
        <a:schemeClr val="accent3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/>
              <a:t>Curva de receita para os</a:t>
            </a:r>
            <a:r>
              <a:rPr lang="en-US" sz="800" baseline="0"/>
              <a:t> cenários - sem CVaR e com CVaR</a:t>
            </a:r>
            <a:endParaRPr lang="en-US" sz="800"/>
          </a:p>
        </c:rich>
      </c:tx>
      <c:layout>
        <c:manualLayout>
          <c:xMode val="edge"/>
          <c:yMode val="edge"/>
          <c:x val="2.3544359438518476E-2"/>
          <c:y val="2.35643735762701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[E.]</c:v>
          </c:tx>
          <c:spPr>
            <a:ln w="190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val>
            <c:numRef>
              <c:f>'CVaR 30|05'!$B$31:$B$158</c:f>
              <c:numCache>
                <c:formatCode>_-* #,##0_-;\-* #,##0_-;_-* "-"??_-;_-@_-</c:formatCode>
                <c:ptCount val="128"/>
                <c:pt idx="0">
                  <c:v>-58.12300045202786</c:v>
                </c:pt>
                <c:pt idx="1">
                  <c:v>-42.470988605225223</c:v>
                </c:pt>
                <c:pt idx="2">
                  <c:v>-19.20282270433454</c:v>
                </c:pt>
                <c:pt idx="3">
                  <c:v>-12.891704341435101</c:v>
                </c:pt>
                <c:pt idx="4">
                  <c:v>-11.670093175127757</c:v>
                </c:pt>
                <c:pt idx="5">
                  <c:v>-11.306733579409483</c:v>
                </c:pt>
                <c:pt idx="6">
                  <c:v>-3.4460998794796214</c:v>
                </c:pt>
                <c:pt idx="7">
                  <c:v>-3.2929751588113443</c:v>
                </c:pt>
                <c:pt idx="8">
                  <c:v>-2.4384136522345772</c:v>
                </c:pt>
                <c:pt idx="9">
                  <c:v>-2.3066221016785615</c:v>
                </c:pt>
                <c:pt idx="10">
                  <c:v>-1.9881037513978908</c:v>
                </c:pt>
                <c:pt idx="11">
                  <c:v>-0.10160393218531136</c:v>
                </c:pt>
                <c:pt idx="12">
                  <c:v>1.8050486729575796</c:v>
                </c:pt>
                <c:pt idx="13">
                  <c:v>2.4294063603223366</c:v>
                </c:pt>
                <c:pt idx="14">
                  <c:v>5.0502892404216952</c:v>
                </c:pt>
                <c:pt idx="15">
                  <c:v>7.7771145511483217</c:v>
                </c:pt>
                <c:pt idx="16">
                  <c:v>8.2397599974789433</c:v>
                </c:pt>
                <c:pt idx="17">
                  <c:v>9.9011180188295285</c:v>
                </c:pt>
                <c:pt idx="18">
                  <c:v>11.038215485317817</c:v>
                </c:pt>
                <c:pt idx="19">
                  <c:v>12.707404052716612</c:v>
                </c:pt>
                <c:pt idx="20">
                  <c:v>13.156009318283848</c:v>
                </c:pt>
                <c:pt idx="21">
                  <c:v>14.548890915259983</c:v>
                </c:pt>
                <c:pt idx="22">
                  <c:v>16.507131070943878</c:v>
                </c:pt>
                <c:pt idx="23">
                  <c:v>16.817849591941396</c:v>
                </c:pt>
                <c:pt idx="24">
                  <c:v>18.243261652229606</c:v>
                </c:pt>
                <c:pt idx="25">
                  <c:v>19.812600321363011</c:v>
                </c:pt>
                <c:pt idx="26">
                  <c:v>21.865646804774464</c:v>
                </c:pt>
                <c:pt idx="27">
                  <c:v>22.51873364973542</c:v>
                </c:pt>
                <c:pt idx="28">
                  <c:v>23.55051752668399</c:v>
                </c:pt>
                <c:pt idx="29">
                  <c:v>23.842790772127007</c:v>
                </c:pt>
                <c:pt idx="30">
                  <c:v>24.916367043314583</c:v>
                </c:pt>
                <c:pt idx="31">
                  <c:v>26.693083666041595</c:v>
                </c:pt>
                <c:pt idx="32">
                  <c:v>27.0244652454464</c:v>
                </c:pt>
                <c:pt idx="33">
                  <c:v>27.239432045181996</c:v>
                </c:pt>
                <c:pt idx="34">
                  <c:v>27.512329478986665</c:v>
                </c:pt>
                <c:pt idx="35">
                  <c:v>28.093296052737326</c:v>
                </c:pt>
                <c:pt idx="36">
                  <c:v>28.524398392944789</c:v>
                </c:pt>
                <c:pt idx="37">
                  <c:v>29.096364640203912</c:v>
                </c:pt>
                <c:pt idx="38">
                  <c:v>29.494673951049023</c:v>
                </c:pt>
                <c:pt idx="39">
                  <c:v>29.908514927822974</c:v>
                </c:pt>
                <c:pt idx="40">
                  <c:v>30.859231256809945</c:v>
                </c:pt>
                <c:pt idx="41">
                  <c:v>31.539379964868999</c:v>
                </c:pt>
                <c:pt idx="42">
                  <c:v>32.363883332029609</c:v>
                </c:pt>
                <c:pt idx="43">
                  <c:v>34.110645358437203</c:v>
                </c:pt>
                <c:pt idx="44">
                  <c:v>35.335725047084821</c:v>
                </c:pt>
                <c:pt idx="45">
                  <c:v>35.886127296929793</c:v>
                </c:pt>
                <c:pt idx="46">
                  <c:v>36.207092170737454</c:v>
                </c:pt>
                <c:pt idx="47">
                  <c:v>36.423813217779355</c:v>
                </c:pt>
                <c:pt idx="48">
                  <c:v>39.104760936575964</c:v>
                </c:pt>
                <c:pt idx="49">
                  <c:v>40.051386400371229</c:v>
                </c:pt>
                <c:pt idx="50">
                  <c:v>41.586399683660268</c:v>
                </c:pt>
                <c:pt idx="51">
                  <c:v>42.463873993694612</c:v>
                </c:pt>
                <c:pt idx="52">
                  <c:v>43.088131746381862</c:v>
                </c:pt>
                <c:pt idx="53">
                  <c:v>44.442873079704647</c:v>
                </c:pt>
                <c:pt idx="54">
                  <c:v>44.888713807887989</c:v>
                </c:pt>
                <c:pt idx="55">
                  <c:v>46.403904399227123</c:v>
                </c:pt>
                <c:pt idx="56">
                  <c:v>47.284512703093327</c:v>
                </c:pt>
                <c:pt idx="57">
                  <c:v>48.157646772114951</c:v>
                </c:pt>
                <c:pt idx="58">
                  <c:v>49.307205820480085</c:v>
                </c:pt>
                <c:pt idx="59">
                  <c:v>50.224316856250553</c:v>
                </c:pt>
                <c:pt idx="60">
                  <c:v>50.430239444961131</c:v>
                </c:pt>
                <c:pt idx="61">
                  <c:v>50.964811746369641</c:v>
                </c:pt>
                <c:pt idx="62">
                  <c:v>51.399746352744479</c:v>
                </c:pt>
                <c:pt idx="63">
                  <c:v>52.2572967255945</c:v>
                </c:pt>
                <c:pt idx="64">
                  <c:v>53.879420552398351</c:v>
                </c:pt>
                <c:pt idx="65">
                  <c:v>54.127266930262898</c:v>
                </c:pt>
                <c:pt idx="66">
                  <c:v>54.916172248395398</c:v>
                </c:pt>
                <c:pt idx="67">
                  <c:v>55.653505855564141</c:v>
                </c:pt>
                <c:pt idx="68">
                  <c:v>56.419764818513066</c:v>
                </c:pt>
                <c:pt idx="69">
                  <c:v>56.947272615221401</c:v>
                </c:pt>
                <c:pt idx="70">
                  <c:v>57.146980354051898</c:v>
                </c:pt>
                <c:pt idx="71">
                  <c:v>57.811373802848358</c:v>
                </c:pt>
                <c:pt idx="72">
                  <c:v>58.334224821074272</c:v>
                </c:pt>
                <c:pt idx="73">
                  <c:v>58.631891658603777</c:v>
                </c:pt>
                <c:pt idx="74">
                  <c:v>59.608755440033818</c:v>
                </c:pt>
                <c:pt idx="75">
                  <c:v>59.920540027614457</c:v>
                </c:pt>
                <c:pt idx="76">
                  <c:v>61.439672951681793</c:v>
                </c:pt>
                <c:pt idx="77">
                  <c:v>63.066299789050156</c:v>
                </c:pt>
                <c:pt idx="78">
                  <c:v>63.985932215978366</c:v>
                </c:pt>
                <c:pt idx="79">
                  <c:v>65.304570694310669</c:v>
                </c:pt>
                <c:pt idx="80">
                  <c:v>66.492638295290774</c:v>
                </c:pt>
                <c:pt idx="81">
                  <c:v>67.007903748905761</c:v>
                </c:pt>
                <c:pt idx="82">
                  <c:v>68.200248672942678</c:v>
                </c:pt>
                <c:pt idx="83">
                  <c:v>69.4736295291939</c:v>
                </c:pt>
                <c:pt idx="84">
                  <c:v>72.51592739484353</c:v>
                </c:pt>
                <c:pt idx="85">
                  <c:v>75.313432760859513</c:v>
                </c:pt>
                <c:pt idx="86">
                  <c:v>78.239269875699364</c:v>
                </c:pt>
                <c:pt idx="87">
                  <c:v>79.645894794751115</c:v>
                </c:pt>
                <c:pt idx="88">
                  <c:v>81.654331849412713</c:v>
                </c:pt>
                <c:pt idx="89">
                  <c:v>82.380453747629403</c:v>
                </c:pt>
                <c:pt idx="90">
                  <c:v>84.013576130513528</c:v>
                </c:pt>
                <c:pt idx="91">
                  <c:v>86.472853170084903</c:v>
                </c:pt>
                <c:pt idx="92">
                  <c:v>87.21768838923262</c:v>
                </c:pt>
                <c:pt idx="93">
                  <c:v>88.147241034509435</c:v>
                </c:pt>
                <c:pt idx="94">
                  <c:v>89.277669810483388</c:v>
                </c:pt>
                <c:pt idx="95">
                  <c:v>89.996669755202632</c:v>
                </c:pt>
                <c:pt idx="96">
                  <c:v>90.398871008137618</c:v>
                </c:pt>
                <c:pt idx="97">
                  <c:v>91.901524574884903</c:v>
                </c:pt>
                <c:pt idx="98">
                  <c:v>92.964963188937105</c:v>
                </c:pt>
                <c:pt idx="99">
                  <c:v>94.772104361644026</c:v>
                </c:pt>
                <c:pt idx="100">
                  <c:v>97.724614392976193</c:v>
                </c:pt>
                <c:pt idx="101">
                  <c:v>102.89101825990336</c:v>
                </c:pt>
                <c:pt idx="102">
                  <c:v>105.26812377650516</c:v>
                </c:pt>
                <c:pt idx="103">
                  <c:v>109.39136067793395</c:v>
                </c:pt>
                <c:pt idx="104">
                  <c:v>112.9414639346824</c:v>
                </c:pt>
                <c:pt idx="105">
                  <c:v>115.08531489017425</c:v>
                </c:pt>
                <c:pt idx="106">
                  <c:v>117.09773482473679</c:v>
                </c:pt>
                <c:pt idx="107">
                  <c:v>119.19755535711894</c:v>
                </c:pt>
                <c:pt idx="108">
                  <c:v>121.63052724167673</c:v>
                </c:pt>
                <c:pt idx="109">
                  <c:v>123.20998847962956</c:v>
                </c:pt>
                <c:pt idx="110">
                  <c:v>126.37950048465289</c:v>
                </c:pt>
                <c:pt idx="111">
                  <c:v>135.09797410169963</c:v>
                </c:pt>
                <c:pt idx="112">
                  <c:v>149.16714827370103</c:v>
                </c:pt>
                <c:pt idx="113">
                  <c:v>153.77462884372466</c:v>
                </c:pt>
                <c:pt idx="114">
                  <c:v>160.5808526955521</c:v>
                </c:pt>
                <c:pt idx="115">
                  <c:v>164.52962333961437</c:v>
                </c:pt>
                <c:pt idx="116">
                  <c:v>178.07568556318088</c:v>
                </c:pt>
                <c:pt idx="117">
                  <c:v>191.84138580543609</c:v>
                </c:pt>
                <c:pt idx="118">
                  <c:v>215.21483561333295</c:v>
                </c:pt>
                <c:pt idx="119">
                  <c:v>227.10344966185824</c:v>
                </c:pt>
                <c:pt idx="120">
                  <c:v>260.01485843979282</c:v>
                </c:pt>
                <c:pt idx="121">
                  <c:v>292.28192551159242</c:v>
                </c:pt>
                <c:pt idx="122">
                  <c:v>330.6188479509126</c:v>
                </c:pt>
                <c:pt idx="123">
                  <c:v>344.11843907045068</c:v>
                </c:pt>
                <c:pt idx="124">
                  <c:v>354.94151750608268</c:v>
                </c:pt>
                <c:pt idx="125">
                  <c:v>427.69785106860121</c:v>
                </c:pt>
                <c:pt idx="126">
                  <c:v>484.65879645203722</c:v>
                </c:pt>
                <c:pt idx="127">
                  <c:v>741.39498838162729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95-4D9E-B5DC-6C09F12C30A1}"/>
            </c:ext>
          </c:extLst>
        </c:ser>
        <c:ser>
          <c:idx val="1"/>
          <c:order val="1"/>
          <c:tx>
            <c:v>CVaR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'CVaR 30|05'!$C$31:$C$158</c:f>
              <c:numCache>
                <c:formatCode>_-* #,##0_-;\-* #,##0_-;_-* "-"??_-;_-@_-</c:formatCode>
                <c:ptCount val="128"/>
                <c:pt idx="0">
                  <c:v>-18.469388190949211</c:v>
                </c:pt>
                <c:pt idx="1">
                  <c:v>-13.3429848271861</c:v>
                </c:pt>
                <c:pt idx="2">
                  <c:v>-6.3173916061572708</c:v>
                </c:pt>
                <c:pt idx="3">
                  <c:v>-3.4460998794796214</c:v>
                </c:pt>
                <c:pt idx="4">
                  <c:v>-3.2929751588113443</c:v>
                </c:pt>
                <c:pt idx="5">
                  <c:v>-3.1464771087689152</c:v>
                </c:pt>
                <c:pt idx="6">
                  <c:v>-0.10160393218531136</c:v>
                </c:pt>
                <c:pt idx="7">
                  <c:v>0.2033585742663869</c:v>
                </c:pt>
                <c:pt idx="8">
                  <c:v>1.3227728115888018</c:v>
                </c:pt>
                <c:pt idx="9">
                  <c:v>2.227233529216647</c:v>
                </c:pt>
                <c:pt idx="10">
                  <c:v>2.4294063603223366</c:v>
                </c:pt>
                <c:pt idx="11">
                  <c:v>3.0990524026680513</c:v>
                </c:pt>
                <c:pt idx="12">
                  <c:v>4.4183765711976193</c:v>
                </c:pt>
                <c:pt idx="13">
                  <c:v>6.5880962107069223</c:v>
                </c:pt>
                <c:pt idx="14">
                  <c:v>7.5879165269235411</c:v>
                </c:pt>
                <c:pt idx="15">
                  <c:v>8.3295061664962624</c:v>
                </c:pt>
                <c:pt idx="16">
                  <c:v>10.065258630215192</c:v>
                </c:pt>
                <c:pt idx="17">
                  <c:v>12.514485138720556</c:v>
                </c:pt>
                <c:pt idx="18">
                  <c:v>13.18319057013704</c:v>
                </c:pt>
                <c:pt idx="19">
                  <c:v>14.604680256117211</c:v>
                </c:pt>
                <c:pt idx="20">
                  <c:v>15.381491737143776</c:v>
                </c:pt>
                <c:pt idx="21">
                  <c:v>16.296943161315884</c:v>
                </c:pt>
                <c:pt idx="22">
                  <c:v>16.59060598094436</c:v>
                </c:pt>
                <c:pt idx="23">
                  <c:v>17.503044085363765</c:v>
                </c:pt>
                <c:pt idx="24">
                  <c:v>19.389053838513181</c:v>
                </c:pt>
                <c:pt idx="25">
                  <c:v>19.774858706557584</c:v>
                </c:pt>
                <c:pt idx="26">
                  <c:v>20.528537451012451</c:v>
                </c:pt>
                <c:pt idx="27">
                  <c:v>21.008243191415893</c:v>
                </c:pt>
                <c:pt idx="28">
                  <c:v>21.815934977455562</c:v>
                </c:pt>
                <c:pt idx="29">
                  <c:v>22.346239943511883</c:v>
                </c:pt>
                <c:pt idx="30">
                  <c:v>23.538457777873965</c:v>
                </c:pt>
                <c:pt idx="31">
                  <c:v>24.867259184547937</c:v>
                </c:pt>
                <c:pt idx="32">
                  <c:v>25.31699805046814</c:v>
                </c:pt>
                <c:pt idx="33">
                  <c:v>26.007108609274145</c:v>
                </c:pt>
                <c:pt idx="34">
                  <c:v>26.206296765170453</c:v>
                </c:pt>
                <c:pt idx="35">
                  <c:v>26.492870929343596</c:v>
                </c:pt>
                <c:pt idx="36">
                  <c:v>26.709355439523165</c:v>
                </c:pt>
                <c:pt idx="37">
                  <c:v>27.184251472649084</c:v>
                </c:pt>
                <c:pt idx="38">
                  <c:v>27.445694558283961</c:v>
                </c:pt>
                <c:pt idx="39">
                  <c:v>28.022435381133054</c:v>
                </c:pt>
                <c:pt idx="40">
                  <c:v>28.263431915558513</c:v>
                </c:pt>
                <c:pt idx="41">
                  <c:v>29.062403342150009</c:v>
                </c:pt>
                <c:pt idx="42">
                  <c:v>29.910774596272557</c:v>
                </c:pt>
                <c:pt idx="43">
                  <c:v>30.795845858075477</c:v>
                </c:pt>
                <c:pt idx="44">
                  <c:v>31.139522897743763</c:v>
                </c:pt>
                <c:pt idx="45">
                  <c:v>32.337174128773583</c:v>
                </c:pt>
                <c:pt idx="46">
                  <c:v>32.685651629604827</c:v>
                </c:pt>
                <c:pt idx="47">
                  <c:v>33.778320937775284</c:v>
                </c:pt>
                <c:pt idx="48">
                  <c:v>34.527174284429769</c:v>
                </c:pt>
                <c:pt idx="49">
                  <c:v>34.915723936128934</c:v>
                </c:pt>
                <c:pt idx="50">
                  <c:v>35.643284867861205</c:v>
                </c:pt>
                <c:pt idx="51">
                  <c:v>36.110755907139286</c:v>
                </c:pt>
                <c:pt idx="52">
                  <c:v>36.564155168899937</c:v>
                </c:pt>
                <c:pt idx="53">
                  <c:v>37.018803457682111</c:v>
                </c:pt>
                <c:pt idx="54">
                  <c:v>38.213427418087093</c:v>
                </c:pt>
                <c:pt idx="55">
                  <c:v>38.995773055533427</c:v>
                </c:pt>
                <c:pt idx="56">
                  <c:v>40.780376102824583</c:v>
                </c:pt>
                <c:pt idx="57">
                  <c:v>41.086482385427807</c:v>
                </c:pt>
                <c:pt idx="58">
                  <c:v>41.72207468226803</c:v>
                </c:pt>
                <c:pt idx="59">
                  <c:v>42.655660195999268</c:v>
                </c:pt>
                <c:pt idx="60">
                  <c:v>43.250795584069479</c:v>
                </c:pt>
                <c:pt idx="61">
                  <c:v>44.245888569021545</c:v>
                </c:pt>
                <c:pt idx="62">
                  <c:v>44.814862371073787</c:v>
                </c:pt>
                <c:pt idx="63">
                  <c:v>45.82299148941491</c:v>
                </c:pt>
                <c:pt idx="64">
                  <c:v>46.969882613258292</c:v>
                </c:pt>
                <c:pt idx="65">
                  <c:v>47.536260938913777</c:v>
                </c:pt>
                <c:pt idx="66">
                  <c:v>47.986850220010083</c:v>
                </c:pt>
                <c:pt idx="67">
                  <c:v>49.094032387468324</c:v>
                </c:pt>
                <c:pt idx="68">
                  <c:v>49.362461285976408</c:v>
                </c:pt>
                <c:pt idx="69">
                  <c:v>50.120309987839768</c:v>
                </c:pt>
                <c:pt idx="70">
                  <c:v>50.203447867129093</c:v>
                </c:pt>
                <c:pt idx="71">
                  <c:v>50.629558486276188</c:v>
                </c:pt>
                <c:pt idx="72">
                  <c:v>51.190789259192485</c:v>
                </c:pt>
                <c:pt idx="73">
                  <c:v>51.755976391785083</c:v>
                </c:pt>
                <c:pt idx="74">
                  <c:v>52.489207195048358</c:v>
                </c:pt>
                <c:pt idx="75">
                  <c:v>53.579356613067787</c:v>
                </c:pt>
                <c:pt idx="76">
                  <c:v>53.9639307643819</c:v>
                </c:pt>
                <c:pt idx="77">
                  <c:v>55.739732791253466</c:v>
                </c:pt>
                <c:pt idx="78">
                  <c:v>56.419764818513066</c:v>
                </c:pt>
                <c:pt idx="79">
                  <c:v>57.145372192727237</c:v>
                </c:pt>
                <c:pt idx="80">
                  <c:v>57.498825597012939</c:v>
                </c:pt>
                <c:pt idx="81">
                  <c:v>57.752626165870737</c:v>
                </c:pt>
                <c:pt idx="82">
                  <c:v>58.676690732858248</c:v>
                </c:pt>
                <c:pt idx="83">
                  <c:v>59.568923015771439</c:v>
                </c:pt>
                <c:pt idx="84">
                  <c:v>60.340591211984417</c:v>
                </c:pt>
                <c:pt idx="85">
                  <c:v>61.559382002305654</c:v>
                </c:pt>
                <c:pt idx="86">
                  <c:v>61.896971005940948</c:v>
                </c:pt>
                <c:pt idx="87">
                  <c:v>63.268091102406544</c:v>
                </c:pt>
                <c:pt idx="88">
                  <c:v>65.755848569439138</c:v>
                </c:pt>
                <c:pt idx="89">
                  <c:v>67.27187773378526</c:v>
                </c:pt>
                <c:pt idx="90">
                  <c:v>68.130345523658377</c:v>
                </c:pt>
                <c:pt idx="91">
                  <c:v>69.181703976212304</c:v>
                </c:pt>
                <c:pt idx="92">
                  <c:v>70.320931565478986</c:v>
                </c:pt>
                <c:pt idx="93">
                  <c:v>71.560752247036419</c:v>
                </c:pt>
                <c:pt idx="94">
                  <c:v>73.808524238110181</c:v>
                </c:pt>
                <c:pt idx="95">
                  <c:v>74.774694193426114</c:v>
                </c:pt>
                <c:pt idx="96">
                  <c:v>75.810780533075047</c:v>
                </c:pt>
                <c:pt idx="97">
                  <c:v>77.631470467897543</c:v>
                </c:pt>
                <c:pt idx="98">
                  <c:v>79.29134820551397</c:v>
                </c:pt>
                <c:pt idx="99">
                  <c:v>81.249979390380645</c:v>
                </c:pt>
                <c:pt idx="100">
                  <c:v>81.633096552390029</c:v>
                </c:pt>
                <c:pt idx="101">
                  <c:v>82.847901587463284</c:v>
                </c:pt>
                <c:pt idx="102">
                  <c:v>85.466846934507956</c:v>
                </c:pt>
                <c:pt idx="103">
                  <c:v>86.494814887735686</c:v>
                </c:pt>
                <c:pt idx="104">
                  <c:v>88.156600103067888</c:v>
                </c:pt>
                <c:pt idx="105">
                  <c:v>88.993073127255954</c:v>
                </c:pt>
                <c:pt idx="106">
                  <c:v>89.825911289356952</c:v>
                </c:pt>
                <c:pt idx="107">
                  <c:v>93.04601978490426</c:v>
                </c:pt>
                <c:pt idx="108">
                  <c:v>94.310306600377999</c:v>
                </c:pt>
                <c:pt idx="109">
                  <c:v>95.681399815898246</c:v>
                </c:pt>
                <c:pt idx="110">
                  <c:v>98.58470195730078</c:v>
                </c:pt>
                <c:pt idx="111">
                  <c:v>103.71911589619999</c:v>
                </c:pt>
                <c:pt idx="112">
                  <c:v>104.9622462510884</c:v>
                </c:pt>
                <c:pt idx="113">
                  <c:v>111.48024154510327</c:v>
                </c:pt>
                <c:pt idx="114">
                  <c:v>120.33067188202682</c:v>
                </c:pt>
                <c:pt idx="115">
                  <c:v>131.89120298465113</c:v>
                </c:pt>
                <c:pt idx="116">
                  <c:v>137.49027196040581</c:v>
                </c:pt>
                <c:pt idx="117">
                  <c:v>139.29864482020994</c:v>
                </c:pt>
                <c:pt idx="118">
                  <c:v>150.00808310715203</c:v>
                </c:pt>
                <c:pt idx="119">
                  <c:v>162.1680636698799</c:v>
                </c:pt>
                <c:pt idx="120">
                  <c:v>183.62856438055874</c:v>
                </c:pt>
                <c:pt idx="121">
                  <c:v>194.57012362158224</c:v>
                </c:pt>
                <c:pt idx="122">
                  <c:v>265.22452372220511</c:v>
                </c:pt>
                <c:pt idx="123">
                  <c:v>315.56477833419154</c:v>
                </c:pt>
                <c:pt idx="124">
                  <c:v>343.29659933585509</c:v>
                </c:pt>
                <c:pt idx="125">
                  <c:v>398.93011480024546</c:v>
                </c:pt>
                <c:pt idx="126">
                  <c:v>478.33645062866105</c:v>
                </c:pt>
                <c:pt idx="127">
                  <c:v>730.43408597476571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95-4D9E-B5DC-6C09F12C3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737183"/>
        <c:axId val="52383183"/>
      </c:lineChart>
      <c:catAx>
        <c:axId val="146737183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Cenários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crossAx val="52383183"/>
        <c:crosses val="autoZero"/>
        <c:auto val="1"/>
        <c:lblAlgn val="ctr"/>
        <c:lblOffset val="100"/>
        <c:noMultiLvlLbl val="0"/>
      </c:catAx>
      <c:valAx>
        <c:axId val="52383183"/>
        <c:scaling>
          <c:orientation val="minMax"/>
          <c:max val="8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Ganho</a:t>
                </a:r>
                <a:r>
                  <a:rPr lang="en-US" baseline="0"/>
                  <a:t> Financeiro (k USD)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.##0_-;\-* #.##0_-;_-* &quot;-&quot;??_-;_-@_-" sourceLinked="0"/>
        <c:majorTickMark val="out"/>
        <c:minorTickMark val="none"/>
        <c:tickLblPos val="nextTo"/>
        <c:spPr>
          <a:noFill/>
          <a:ln>
            <a:solidFill>
              <a:schemeClr val="tx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37183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'CVaR Cluster 1'!$T$1</c:f>
          <c:strCache>
            <c:ptCount val="1"/>
            <c:pt idx="0">
              <c:v>#SPILL!</c:v>
            </c:pt>
          </c:strCache>
        </c:strRef>
      </c:tx>
      <c:layout>
        <c:manualLayout>
          <c:xMode val="edge"/>
          <c:yMode val="edge"/>
          <c:x val="2.1456944444444452E-2"/>
          <c:y val="3.20707070707070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tx2"/>
            </a:solidFill>
            <a:ln>
              <a:noFill/>
            </a:ln>
            <a:effectLst>
              <a:outerShdw blurRad="25400" algn="ctr" rotWithShape="0">
                <a:prstClr val="black">
                  <a:alpha val="90000"/>
                </a:prstClr>
              </a:outerShdw>
            </a:effectLst>
          </c:spPr>
          <c:invertIfNegative val="0"/>
          <c:val>
            <c:numRef>
              <c:f>'CVaR Cluster 1'!$K$2:$K$25</c:f>
              <c:numCache>
                <c:formatCode>General</c:formatCode>
                <c:ptCount val="2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77.011700000000005</c:v>
                </c:pt>
                <c:pt idx="6">
                  <c:v>27.4603</c:v>
                </c:pt>
                <c:pt idx="7">
                  <c:v>28.103000000000002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50.863900000000001</c:v>
                </c:pt>
                <c:pt idx="18">
                  <c:v>30.257899999999999</c:v>
                </c:pt>
                <c:pt idx="19">
                  <c:v>11.2315</c:v>
                </c:pt>
                <c:pt idx="20">
                  <c:v>32.511800000000001</c:v>
                </c:pt>
                <c:pt idx="21">
                  <c:v>52.912599999999998</c:v>
                </c:pt>
                <c:pt idx="22">
                  <c:v>100</c:v>
                </c:pt>
                <c:pt idx="23">
                  <c:v>24.9254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3-45C1-B804-9B7351234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92230656"/>
        <c:axId val="1470513360"/>
      </c:barChart>
      <c:lineChart>
        <c:grouping val="standard"/>
        <c:varyColors val="0"/>
        <c:ser>
          <c:idx val="2"/>
          <c:order val="1"/>
          <c:spPr>
            <a:ln cmpd="sng">
              <a:solidFill>
                <a:schemeClr val="bg1">
                  <a:lumMod val="50000"/>
                </a:schemeClr>
              </a:solidFill>
              <a:prstDash val="sysDash"/>
            </a:ln>
            <a:effectLst>
              <a:outerShdw blurRad="25400" algn="ctr" rotWithShape="0">
                <a:prstClr val="black">
                  <a:alpha val="50000"/>
                </a:prstClr>
              </a:outerShdw>
            </a:effectLst>
          </c:spPr>
          <c:marker>
            <c:symbol val="none"/>
          </c:marker>
          <c:val>
            <c:numRef>
              <c:f>'CVaR Cluster 1'!$N$2:$N$25</c:f>
              <c:numCache>
                <c:formatCode>General</c:formatCode>
                <c:ptCount val="24"/>
                <c:pt idx="0">
                  <c:v>12.6631147540983</c:v>
                </c:pt>
                <c:pt idx="1">
                  <c:v>10.0803278688524</c:v>
                </c:pt>
                <c:pt idx="2">
                  <c:v>9.1278688524590095</c:v>
                </c:pt>
                <c:pt idx="3">
                  <c:v>9.1647540983606604</c:v>
                </c:pt>
                <c:pt idx="4">
                  <c:v>10.1426229508196</c:v>
                </c:pt>
                <c:pt idx="5">
                  <c:v>14.980327868852401</c:v>
                </c:pt>
                <c:pt idx="6">
                  <c:v>19.362295081967201</c:v>
                </c:pt>
                <c:pt idx="7">
                  <c:v>19.0975409836065</c:v>
                </c:pt>
                <c:pt idx="8">
                  <c:v>13.2122950819672</c:v>
                </c:pt>
                <c:pt idx="9">
                  <c:v>9.9442622950819608</c:v>
                </c:pt>
                <c:pt idx="10">
                  <c:v>8.3786885245901601</c:v>
                </c:pt>
                <c:pt idx="11">
                  <c:v>7.5909836065573799</c:v>
                </c:pt>
                <c:pt idx="12">
                  <c:v>7.5672131147540904</c:v>
                </c:pt>
                <c:pt idx="13">
                  <c:v>7.3655737704917996</c:v>
                </c:pt>
                <c:pt idx="14">
                  <c:v>7.0819672131147504</c:v>
                </c:pt>
                <c:pt idx="15">
                  <c:v>7.0106557377049201</c:v>
                </c:pt>
                <c:pt idx="16">
                  <c:v>8.6327868852459009</c:v>
                </c:pt>
                <c:pt idx="17">
                  <c:v>14.9459016393442</c:v>
                </c:pt>
                <c:pt idx="18">
                  <c:v>19.0573770491803</c:v>
                </c:pt>
                <c:pt idx="19">
                  <c:v>23.25</c:v>
                </c:pt>
                <c:pt idx="20">
                  <c:v>20.723770491803201</c:v>
                </c:pt>
                <c:pt idx="21">
                  <c:v>14.955737704918</c:v>
                </c:pt>
                <c:pt idx="22">
                  <c:v>12.072131147540899</c:v>
                </c:pt>
                <c:pt idx="23">
                  <c:v>22.872950819672099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C3-45C1-B804-9B7351234041}"/>
            </c:ext>
          </c:extLst>
        </c:ser>
        <c:ser>
          <c:idx val="0"/>
          <c:order val="2"/>
          <c:spPr>
            <a:ln cmpd="sng">
              <a:solidFill>
                <a:schemeClr val="bg1"/>
              </a:solidFill>
              <a:prstDash val="sysDash"/>
            </a:ln>
            <a:effectLst>
              <a:outerShdw blurRad="25400" algn="ctr" rotWithShape="0">
                <a:prstClr val="black">
                  <a:alpha val="50000"/>
                </a:prstClr>
              </a:outerShdw>
            </a:effectLst>
          </c:spPr>
          <c:marker>
            <c:symbol val="none"/>
          </c:marker>
          <c:val>
            <c:numRef>
              <c:f>'CVaR Cluster 1'!$M$2:$M$25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C3-45C1-B804-9B7351234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2230656"/>
        <c:axId val="1470513360"/>
      </c:lineChart>
      <c:catAx>
        <c:axId val="18922306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513360"/>
        <c:crosses val="autoZero"/>
        <c:auto val="1"/>
        <c:lblAlgn val="ctr"/>
        <c:lblOffset val="100"/>
        <c:tickMarkSkip val="2"/>
        <c:noMultiLvlLbl val="0"/>
      </c:catAx>
      <c:valAx>
        <c:axId val="147051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in"/>
        <c:minorTickMark val="out"/>
        <c:tickLblPos val="nextTo"/>
        <c:spPr>
          <a:solidFill>
            <a:schemeClr val="bg1">
              <a:lumMod val="95000"/>
            </a:schemeClr>
          </a:solidFill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230656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plotVisOnly val="1"/>
    <c:dispBlanksAs val="gap"/>
    <c:showDLblsOverMax val="0"/>
    <c:extLst/>
  </c:chart>
  <c:spPr>
    <a:solidFill>
      <a:schemeClr val="bg1">
        <a:lumMod val="95000"/>
      </a:schemeClr>
    </a:solidFill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'CVaR Cluster 1'!$A$30</c:f>
              <c:strCache>
                <c:ptCount val="1"/>
                <c:pt idx="0">
                  <c:v> -3.1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'CVaR Cluster 1'!$A$31:$A$54</c:f>
              <c:numCache>
                <c:formatCode>General</c:formatCode>
                <c:ptCount val="24"/>
                <c:pt idx="0" formatCode="0.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30-46ED-AFE0-F72C7D2A51E2}"/>
            </c:ext>
          </c:extLst>
        </c:ser>
        <c:ser>
          <c:idx val="1"/>
          <c:order val="1"/>
          <c:tx>
            <c:strRef>
              <c:f>'CVaR Cluster 1'!$B$30</c:f>
              <c:strCache>
                <c:ptCount val="1"/>
                <c:pt idx="0">
                  <c:v> 0.5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'CVaR Cluster 1'!$B$31:$B$54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30-46ED-AFE0-F72C7D2A51E2}"/>
            </c:ext>
          </c:extLst>
        </c:ser>
        <c:ser>
          <c:idx val="2"/>
          <c:order val="2"/>
          <c:tx>
            <c:strRef>
              <c:f>'CVaR Cluster 1'!$C$30</c:f>
              <c:strCache>
                <c:ptCount val="1"/>
                <c:pt idx="0">
                  <c:v> 2.1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'CVaR Cluster 1'!$C$31:$C$54</c:f>
              <c:numCache>
                <c:formatCode>General</c:formatCode>
                <c:ptCount val="24"/>
                <c:pt idx="0">
                  <c:v>0</c:v>
                </c:pt>
                <c:pt idx="1">
                  <c:v>4.4352499999999999</c:v>
                </c:pt>
                <c:pt idx="2">
                  <c:v>7.6481700000000004</c:v>
                </c:pt>
                <c:pt idx="3">
                  <c:v>2.6549700000000001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1.8882699999999999</c:v>
                </c:pt>
                <c:pt idx="14">
                  <c:v>3.0241699999999998</c:v>
                </c:pt>
                <c:pt idx="15">
                  <c:v>5.9660099999999998</c:v>
                </c:pt>
                <c:pt idx="16">
                  <c:v>4.33073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30-46ED-AFE0-F72C7D2A51E2}"/>
            </c:ext>
          </c:extLst>
        </c:ser>
        <c:ser>
          <c:idx val="3"/>
          <c:order val="3"/>
          <c:tx>
            <c:strRef>
              <c:f>'CVaR Cluster 1'!$D$30</c:f>
              <c:strCache>
                <c:ptCount val="1"/>
                <c:pt idx="0">
                  <c:v> 4.7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'CVaR Cluster 1'!$D$31:$D$54</c:f>
              <c:numCache>
                <c:formatCode>General</c:formatCode>
                <c:ptCount val="24"/>
                <c:pt idx="0">
                  <c:v>6.7107200000000002</c:v>
                </c:pt>
                <c:pt idx="1">
                  <c:v>13.697150000000001</c:v>
                </c:pt>
                <c:pt idx="2">
                  <c:v>17.45083</c:v>
                </c:pt>
                <c:pt idx="3">
                  <c:v>10.220129999999999</c:v>
                </c:pt>
                <c:pt idx="4">
                  <c:v>4.7183999999999999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0.63774799999999998</c:v>
                </c:pt>
                <c:pt idx="10">
                  <c:v>4.1338499999999998</c:v>
                </c:pt>
                <c:pt idx="11">
                  <c:v>6.6341000000000001</c:v>
                </c:pt>
                <c:pt idx="12">
                  <c:v>5.7818199999999997</c:v>
                </c:pt>
                <c:pt idx="13">
                  <c:v>7.3431899999999999</c:v>
                </c:pt>
                <c:pt idx="14">
                  <c:v>9.6718299999999999</c:v>
                </c:pt>
                <c:pt idx="15">
                  <c:v>5.7211900000000009</c:v>
                </c:pt>
                <c:pt idx="16">
                  <c:v>5.9898700000000007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0.78686100000000003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30-46ED-AFE0-F72C7D2A51E2}"/>
            </c:ext>
          </c:extLst>
        </c:ser>
        <c:ser>
          <c:idx val="4"/>
          <c:order val="4"/>
          <c:tx>
            <c:strRef>
              <c:f>'CVaR Cluster 1'!$E$30</c:f>
              <c:strCache>
                <c:ptCount val="1"/>
                <c:pt idx="0">
                  <c:v> 7.3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'CVaR Cluster 1'!$E$31:$E$54</c:f>
              <c:numCache>
                <c:formatCode>General</c:formatCode>
                <c:ptCount val="24"/>
                <c:pt idx="0">
                  <c:v>17.721679999999999</c:v>
                </c:pt>
                <c:pt idx="1">
                  <c:v>9.5193000000000012</c:v>
                </c:pt>
                <c:pt idx="2">
                  <c:v>9.6463999999999963</c:v>
                </c:pt>
                <c:pt idx="3">
                  <c:v>12.997399999999999</c:v>
                </c:pt>
                <c:pt idx="4">
                  <c:v>12.633700000000001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5.152342</c:v>
                </c:pt>
                <c:pt idx="10">
                  <c:v>6.7208499999999995</c:v>
                </c:pt>
                <c:pt idx="11">
                  <c:v>10.587700000000002</c:v>
                </c:pt>
                <c:pt idx="12">
                  <c:v>13.47278</c:v>
                </c:pt>
                <c:pt idx="13">
                  <c:v>14.493740000000001</c:v>
                </c:pt>
                <c:pt idx="14">
                  <c:v>14.746699999999999</c:v>
                </c:pt>
                <c:pt idx="15">
                  <c:v>13.867599999999999</c:v>
                </c:pt>
                <c:pt idx="16">
                  <c:v>8.1929999999999996</c:v>
                </c:pt>
                <c:pt idx="17">
                  <c:v>1.8079099999999999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9.8662390000000002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30-46ED-AFE0-F72C7D2A51E2}"/>
            </c:ext>
          </c:extLst>
        </c:ser>
        <c:ser>
          <c:idx val="5"/>
          <c:order val="5"/>
          <c:tx>
            <c:strRef>
              <c:f>'CVaR Cluster 1'!$F$30</c:f>
              <c:strCache>
                <c:ptCount val="1"/>
                <c:pt idx="0">
                  <c:v> 10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'CVaR Cluster 1'!$F$31:$F$54</c:f>
              <c:numCache>
                <c:formatCode>General</c:formatCode>
                <c:ptCount val="24"/>
                <c:pt idx="0">
                  <c:v>9.0838999999999999</c:v>
                </c:pt>
                <c:pt idx="1">
                  <c:v>22.6294</c:v>
                </c:pt>
                <c:pt idx="2">
                  <c:v>12.873900000000006</c:v>
                </c:pt>
                <c:pt idx="3">
                  <c:v>16.488699999999998</c:v>
                </c:pt>
                <c:pt idx="4">
                  <c:v>16.810200000000002</c:v>
                </c:pt>
                <c:pt idx="5">
                  <c:v>3.48102</c:v>
                </c:pt>
                <c:pt idx="6">
                  <c:v>0</c:v>
                </c:pt>
                <c:pt idx="7">
                  <c:v>0</c:v>
                </c:pt>
                <c:pt idx="8">
                  <c:v>5.3942100000000002</c:v>
                </c:pt>
                <c:pt idx="9">
                  <c:v>6.0385099999999996</c:v>
                </c:pt>
                <c:pt idx="10">
                  <c:v>8.8971999999999998</c:v>
                </c:pt>
                <c:pt idx="11">
                  <c:v>8.8033999999999999</c:v>
                </c:pt>
                <c:pt idx="12">
                  <c:v>13.419099999999997</c:v>
                </c:pt>
                <c:pt idx="13">
                  <c:v>11.011400000000002</c:v>
                </c:pt>
                <c:pt idx="14">
                  <c:v>13.4085</c:v>
                </c:pt>
                <c:pt idx="15">
                  <c:v>10.906799999999997</c:v>
                </c:pt>
                <c:pt idx="16">
                  <c:v>10.163</c:v>
                </c:pt>
                <c:pt idx="17">
                  <c:v>7.7887599999999999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3.3784900000000002</c:v>
                </c:pt>
                <c:pt idx="22">
                  <c:v>6.3886999999999983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30-46ED-AFE0-F72C7D2A51E2}"/>
            </c:ext>
          </c:extLst>
        </c:ser>
        <c:ser>
          <c:idx val="6"/>
          <c:order val="6"/>
          <c:tx>
            <c:strRef>
              <c:f>'CVaR Cluster 1'!$G$30</c:f>
              <c:strCache>
                <c:ptCount val="1"/>
                <c:pt idx="0">
                  <c:v> 12.6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'CVaR Cluster 1'!$G$31:$G$54</c:f>
              <c:numCache>
                <c:formatCode>General</c:formatCode>
                <c:ptCount val="24"/>
                <c:pt idx="0">
                  <c:v>9.4243000000000023</c:v>
                </c:pt>
                <c:pt idx="1">
                  <c:v>8.6171999999999969</c:v>
                </c:pt>
                <c:pt idx="2">
                  <c:v>10.443399999999997</c:v>
                </c:pt>
                <c:pt idx="3">
                  <c:v>6.3506</c:v>
                </c:pt>
                <c:pt idx="4">
                  <c:v>11.016799999999996</c:v>
                </c:pt>
                <c:pt idx="5">
                  <c:v>11.935680000000001</c:v>
                </c:pt>
                <c:pt idx="6">
                  <c:v>0</c:v>
                </c:pt>
                <c:pt idx="7">
                  <c:v>0</c:v>
                </c:pt>
                <c:pt idx="8">
                  <c:v>5.9127900000000002</c:v>
                </c:pt>
                <c:pt idx="9">
                  <c:v>8.8722000000000012</c:v>
                </c:pt>
                <c:pt idx="10">
                  <c:v>12.008500000000002</c:v>
                </c:pt>
                <c:pt idx="11">
                  <c:v>15.565200000000001</c:v>
                </c:pt>
                <c:pt idx="12">
                  <c:v>10.146500000000003</c:v>
                </c:pt>
                <c:pt idx="13">
                  <c:v>10.217599999999997</c:v>
                </c:pt>
                <c:pt idx="14">
                  <c:v>21.851300000000002</c:v>
                </c:pt>
                <c:pt idx="15">
                  <c:v>12.0687</c:v>
                </c:pt>
                <c:pt idx="16">
                  <c:v>13.779499999999999</c:v>
                </c:pt>
                <c:pt idx="17">
                  <c:v>4.2155300000000011</c:v>
                </c:pt>
                <c:pt idx="18">
                  <c:v>2.5829599999999999</c:v>
                </c:pt>
                <c:pt idx="19">
                  <c:v>0</c:v>
                </c:pt>
                <c:pt idx="20">
                  <c:v>2.9344999999999999</c:v>
                </c:pt>
                <c:pt idx="21">
                  <c:v>7.2053099999999999</c:v>
                </c:pt>
                <c:pt idx="22">
                  <c:v>10.650600000000001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30-46ED-AFE0-F72C7D2A51E2}"/>
            </c:ext>
          </c:extLst>
        </c:ser>
        <c:ser>
          <c:idx val="7"/>
          <c:order val="7"/>
          <c:tx>
            <c:strRef>
              <c:f>'CVaR Cluster 1'!$H$30</c:f>
              <c:strCache>
                <c:ptCount val="1"/>
                <c:pt idx="0">
                  <c:v> 15.2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'CVaR Cluster 1'!$H$31:$H$54</c:f>
              <c:numCache>
                <c:formatCode>General</c:formatCode>
                <c:ptCount val="24"/>
                <c:pt idx="0">
                  <c:v>7.5688999999999993</c:v>
                </c:pt>
                <c:pt idx="1">
                  <c:v>9.1876999999999995</c:v>
                </c:pt>
                <c:pt idx="2">
                  <c:v>20.265300000000003</c:v>
                </c:pt>
                <c:pt idx="3">
                  <c:v>42.857100000000003</c:v>
                </c:pt>
                <c:pt idx="4">
                  <c:v>52.687599999999996</c:v>
                </c:pt>
                <c:pt idx="5">
                  <c:v>13.259099999999998</c:v>
                </c:pt>
                <c:pt idx="6">
                  <c:v>8.1379400000000004</c:v>
                </c:pt>
                <c:pt idx="7">
                  <c:v>5.0490300000000001</c:v>
                </c:pt>
                <c:pt idx="8">
                  <c:v>6.8119999999999994</c:v>
                </c:pt>
                <c:pt idx="9">
                  <c:v>7.5376999999999974</c:v>
                </c:pt>
                <c:pt idx="10">
                  <c:v>68.239599999999996</c:v>
                </c:pt>
                <c:pt idx="11">
                  <c:v>58.409599999999998</c:v>
                </c:pt>
                <c:pt idx="12">
                  <c:v>57.1798</c:v>
                </c:pt>
                <c:pt idx="13">
                  <c:v>55.0458</c:v>
                </c:pt>
                <c:pt idx="14">
                  <c:v>37.297499999999999</c:v>
                </c:pt>
                <c:pt idx="15">
                  <c:v>51.469700000000003</c:v>
                </c:pt>
                <c:pt idx="16">
                  <c:v>28.393999999999998</c:v>
                </c:pt>
                <c:pt idx="17">
                  <c:v>12.982099999999999</c:v>
                </c:pt>
                <c:pt idx="18">
                  <c:v>11.14184</c:v>
                </c:pt>
                <c:pt idx="19">
                  <c:v>4.8310500000000003</c:v>
                </c:pt>
                <c:pt idx="20">
                  <c:v>3.7823900000000004</c:v>
                </c:pt>
                <c:pt idx="21">
                  <c:v>17.958099999999998</c:v>
                </c:pt>
                <c:pt idx="22">
                  <c:v>16.976500000000001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A30-46ED-AFE0-F72C7D2A51E2}"/>
            </c:ext>
          </c:extLst>
        </c:ser>
        <c:ser>
          <c:idx val="8"/>
          <c:order val="8"/>
          <c:tx>
            <c:strRef>
              <c:f>'CVaR Cluster 1'!$I$30</c:f>
              <c:strCache>
                <c:ptCount val="1"/>
                <c:pt idx="0">
                  <c:v> 17.8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'CVaR Cluster 1'!$I$31:$I$54</c:f>
              <c:numCache>
                <c:formatCode>General</c:formatCode>
                <c:ptCount val="24"/>
                <c:pt idx="0">
                  <c:v>7.7729999999999961</c:v>
                </c:pt>
                <c:pt idx="1">
                  <c:v>27.974800000000002</c:v>
                </c:pt>
                <c:pt idx="2">
                  <c:v>21.671999999999997</c:v>
                </c:pt>
                <c:pt idx="3">
                  <c:v>8.4311000000000007</c:v>
                </c:pt>
                <c:pt idx="4">
                  <c:v>2.1333000000000055</c:v>
                </c:pt>
                <c:pt idx="5">
                  <c:v>11.094800000000003</c:v>
                </c:pt>
                <c:pt idx="6">
                  <c:v>9.10426</c:v>
                </c:pt>
                <c:pt idx="7">
                  <c:v>14.832469999999999</c:v>
                </c:pt>
                <c:pt idx="8">
                  <c:v>17.583599999999997</c:v>
                </c:pt>
                <c:pt idx="9">
                  <c:v>71.761499999999998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29.149900000000002</c:v>
                </c:pt>
                <c:pt idx="17">
                  <c:v>9.2886000000000024</c:v>
                </c:pt>
                <c:pt idx="18">
                  <c:v>10.748399999999998</c:v>
                </c:pt>
                <c:pt idx="19">
                  <c:v>5.5892499999999989</c:v>
                </c:pt>
                <c:pt idx="20">
                  <c:v>10.229310000000002</c:v>
                </c:pt>
                <c:pt idx="21">
                  <c:v>13.144800000000004</c:v>
                </c:pt>
                <c:pt idx="22">
                  <c:v>23.383800000000001</c:v>
                </c:pt>
                <c:pt idx="23">
                  <c:v>7.6587899999999998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A30-46ED-AFE0-F72C7D2A51E2}"/>
            </c:ext>
          </c:extLst>
        </c:ser>
        <c:ser>
          <c:idx val="9"/>
          <c:order val="9"/>
          <c:tx>
            <c:strRef>
              <c:f>'CVaR Cluster 1'!$J$30</c:f>
              <c:strCache>
                <c:ptCount val="1"/>
                <c:pt idx="0">
                  <c:v> 20.4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'CVaR Cluster 1'!$J$31:$J$54</c:f>
              <c:numCache>
                <c:formatCode>General</c:formatCode>
                <c:ptCount val="24"/>
                <c:pt idx="0" formatCode="0.0">
                  <c:v>41.717500000000001</c:v>
                </c:pt>
                <c:pt idx="1">
                  <c:v>3.9391999999999996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37.241100000000003</c:v>
                </c:pt>
                <c:pt idx="6">
                  <c:v>10.2181</c:v>
                </c:pt>
                <c:pt idx="7">
                  <c:v>8.2215000000000025</c:v>
                </c:pt>
                <c:pt idx="8">
                  <c:v>64.29740000000001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14.780999999999999</c:v>
                </c:pt>
                <c:pt idx="18">
                  <c:v>5.7847000000000008</c:v>
                </c:pt>
                <c:pt idx="19">
                  <c:v>0.81120000000000125</c:v>
                </c:pt>
                <c:pt idx="20">
                  <c:v>15.5656</c:v>
                </c:pt>
                <c:pt idx="21">
                  <c:v>11.225899999999996</c:v>
                </c:pt>
                <c:pt idx="22">
                  <c:v>31.947299999999998</c:v>
                </c:pt>
                <c:pt idx="23">
                  <c:v>17.26661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A30-46ED-AFE0-F72C7D2A5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83057248"/>
        <c:axId val="2025742079"/>
      </c:barChart>
      <c:lineChart>
        <c:grouping val="standard"/>
        <c:varyColors val="0"/>
        <c:ser>
          <c:idx val="10"/>
          <c:order val="1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'CVaR Cluster 1'!$N$2:$N$25</c:f>
              <c:numCache>
                <c:formatCode>General</c:formatCode>
                <c:ptCount val="24"/>
                <c:pt idx="0">
                  <c:v>12.6631147540983</c:v>
                </c:pt>
                <c:pt idx="1">
                  <c:v>10.0803278688524</c:v>
                </c:pt>
                <c:pt idx="2">
                  <c:v>9.1278688524590095</c:v>
                </c:pt>
                <c:pt idx="3">
                  <c:v>9.1647540983606604</c:v>
                </c:pt>
                <c:pt idx="4">
                  <c:v>10.1426229508196</c:v>
                </c:pt>
                <c:pt idx="5">
                  <c:v>14.980327868852401</c:v>
                </c:pt>
                <c:pt idx="6">
                  <c:v>19.362295081967201</c:v>
                </c:pt>
                <c:pt idx="7">
                  <c:v>19.0975409836065</c:v>
                </c:pt>
                <c:pt idx="8">
                  <c:v>13.2122950819672</c:v>
                </c:pt>
                <c:pt idx="9">
                  <c:v>9.9442622950819608</c:v>
                </c:pt>
                <c:pt idx="10">
                  <c:v>8.3786885245901601</c:v>
                </c:pt>
                <c:pt idx="11">
                  <c:v>7.5909836065573799</c:v>
                </c:pt>
                <c:pt idx="12">
                  <c:v>7.5672131147540904</c:v>
                </c:pt>
                <c:pt idx="13">
                  <c:v>7.3655737704917996</c:v>
                </c:pt>
                <c:pt idx="14">
                  <c:v>7.0819672131147504</c:v>
                </c:pt>
                <c:pt idx="15">
                  <c:v>7.0106557377049201</c:v>
                </c:pt>
                <c:pt idx="16">
                  <c:v>8.6327868852459009</c:v>
                </c:pt>
                <c:pt idx="17">
                  <c:v>14.9459016393442</c:v>
                </c:pt>
                <c:pt idx="18">
                  <c:v>19.0573770491803</c:v>
                </c:pt>
                <c:pt idx="19">
                  <c:v>23.25</c:v>
                </c:pt>
                <c:pt idx="20">
                  <c:v>20.723770491803201</c:v>
                </c:pt>
                <c:pt idx="21">
                  <c:v>14.955737704918</c:v>
                </c:pt>
                <c:pt idx="22">
                  <c:v>12.072131147540899</c:v>
                </c:pt>
                <c:pt idx="23">
                  <c:v>22.872950819672099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A30-46ED-AFE0-F72C7D2A5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911103"/>
        <c:axId val="2025751999"/>
      </c:lineChart>
      <c:catAx>
        <c:axId val="830572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742079"/>
        <c:crosses val="autoZero"/>
        <c:auto val="1"/>
        <c:lblAlgn val="ctr"/>
        <c:lblOffset val="100"/>
        <c:noMultiLvlLbl val="0"/>
      </c:catAx>
      <c:valAx>
        <c:axId val="2025742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7248"/>
        <c:crosses val="autoZero"/>
        <c:crossBetween val="between"/>
      </c:valAx>
      <c:valAx>
        <c:axId val="202575199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911103"/>
        <c:crosses val="max"/>
        <c:crossBetween val="between"/>
      </c:valAx>
      <c:catAx>
        <c:axId val="2005911103"/>
        <c:scaling>
          <c:orientation val="minMax"/>
        </c:scaling>
        <c:delete val="1"/>
        <c:axPos val="b"/>
        <c:majorTickMark val="out"/>
        <c:minorTickMark val="none"/>
        <c:tickLblPos val="nextTo"/>
        <c:crossAx val="20257519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'CVaR Cluster 2'!$T$1</c:f>
          <c:strCache>
            <c:ptCount val="1"/>
            <c:pt idx="0">
              <c:v>Curva de oferta para bid de 40 USD/MWh</c:v>
            </c:pt>
          </c:strCache>
        </c:strRef>
      </c:tx>
      <c:layout>
        <c:manualLayout>
          <c:xMode val="edge"/>
          <c:yMode val="edge"/>
          <c:x val="2.1456944444444452E-2"/>
          <c:y val="3.20707070707070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tx2"/>
            </a:solidFill>
            <a:ln>
              <a:noFill/>
            </a:ln>
            <a:effectLst>
              <a:outerShdw blurRad="25400" algn="ctr" rotWithShape="0">
                <a:prstClr val="black">
                  <a:alpha val="90000"/>
                </a:prstClr>
              </a:outerShdw>
            </a:effectLst>
          </c:spPr>
          <c:invertIfNegative val="0"/>
          <c:val>
            <c:numRef>
              <c:f>'CVaR Cluster 2'!$K$2:$K$25</c:f>
              <c:numCache>
                <c:formatCode>General</c:formatCode>
                <c:ptCount val="2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51.99004385445064</c:v>
                </c:pt>
                <c:pt idx="6">
                  <c:v>0</c:v>
                </c:pt>
                <c:pt idx="7">
                  <c:v>3.2810052969442349</c:v>
                </c:pt>
                <c:pt idx="8">
                  <c:v>44.260936116055689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48.160703075957272</c:v>
                </c:pt>
                <c:pt idx="13">
                  <c:v>4.6884567837047806</c:v>
                </c:pt>
                <c:pt idx="14">
                  <c:v>3.5924684891795082</c:v>
                </c:pt>
                <c:pt idx="15">
                  <c:v>8.9802478868304654</c:v>
                </c:pt>
                <c:pt idx="16">
                  <c:v>5.2396919449420478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19.391687949849086</c:v>
                </c:pt>
                <c:pt idx="2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98-43BA-849C-9A5B5CA25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92230656"/>
        <c:axId val="1470513360"/>
      </c:barChart>
      <c:lineChart>
        <c:grouping val="standard"/>
        <c:varyColors val="0"/>
        <c:ser>
          <c:idx val="2"/>
          <c:order val="1"/>
          <c:spPr>
            <a:ln cmpd="sng">
              <a:solidFill>
                <a:schemeClr val="bg1">
                  <a:lumMod val="50000"/>
                </a:schemeClr>
              </a:solidFill>
              <a:prstDash val="sysDash"/>
            </a:ln>
            <a:effectLst>
              <a:outerShdw blurRad="25400" algn="ctr" rotWithShape="0">
                <a:prstClr val="black">
                  <a:alpha val="50000"/>
                </a:prstClr>
              </a:outerShdw>
            </a:effectLst>
          </c:spPr>
          <c:marker>
            <c:symbol val="none"/>
          </c:marker>
          <c:val>
            <c:numRef>
              <c:f>'CVaR Cluster 2'!$N$2:$N$25</c:f>
              <c:numCache>
                <c:formatCode>General</c:formatCode>
                <c:ptCount val="24"/>
                <c:pt idx="0">
                  <c:v>22.891735537190076</c:v>
                </c:pt>
                <c:pt idx="1">
                  <c:v>21.84049586776861</c:v>
                </c:pt>
                <c:pt idx="2">
                  <c:v>22.103305785123972</c:v>
                </c:pt>
                <c:pt idx="3">
                  <c:v>22.734710743801649</c:v>
                </c:pt>
                <c:pt idx="4">
                  <c:v>23.064462809917355</c:v>
                </c:pt>
                <c:pt idx="5">
                  <c:v>25.722314049586767</c:v>
                </c:pt>
                <c:pt idx="6">
                  <c:v>31.511570247933882</c:v>
                </c:pt>
                <c:pt idx="7">
                  <c:v>32.103305785123972</c:v>
                </c:pt>
                <c:pt idx="8">
                  <c:v>25.410743801652895</c:v>
                </c:pt>
                <c:pt idx="9">
                  <c:v>22.517355371900823</c:v>
                </c:pt>
                <c:pt idx="10">
                  <c:v>22.386776859504131</c:v>
                </c:pt>
                <c:pt idx="11">
                  <c:v>24.13636363636364</c:v>
                </c:pt>
                <c:pt idx="12">
                  <c:v>25.531404958677694</c:v>
                </c:pt>
                <c:pt idx="13">
                  <c:v>28.728925619834712</c:v>
                </c:pt>
                <c:pt idx="14">
                  <c:v>30.307438016528931</c:v>
                </c:pt>
                <c:pt idx="15">
                  <c:v>30.970247933884295</c:v>
                </c:pt>
                <c:pt idx="16">
                  <c:v>32.80743801652892</c:v>
                </c:pt>
                <c:pt idx="17">
                  <c:v>38.371900826446272</c:v>
                </c:pt>
                <c:pt idx="18">
                  <c:v>40.450413223140494</c:v>
                </c:pt>
                <c:pt idx="19">
                  <c:v>55.789256198347104</c:v>
                </c:pt>
                <c:pt idx="20">
                  <c:v>52.201652892561967</c:v>
                </c:pt>
                <c:pt idx="21">
                  <c:v>36.425619834710737</c:v>
                </c:pt>
                <c:pt idx="22">
                  <c:v>30.252892561983462</c:v>
                </c:pt>
                <c:pt idx="23">
                  <c:v>25.376859504132238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98-43BA-849C-9A5B5CA25A0A}"/>
            </c:ext>
          </c:extLst>
        </c:ser>
        <c:ser>
          <c:idx val="0"/>
          <c:order val="2"/>
          <c:spPr>
            <a:ln cmpd="sng">
              <a:solidFill>
                <a:schemeClr val="bg1"/>
              </a:solidFill>
              <a:prstDash val="sysDash"/>
            </a:ln>
            <a:effectLst>
              <a:outerShdw blurRad="25400" algn="ctr" rotWithShape="0">
                <a:prstClr val="black">
                  <a:alpha val="50000"/>
                </a:prstClr>
              </a:outerShdw>
            </a:effectLst>
          </c:spPr>
          <c:marker>
            <c:symbol val="none"/>
          </c:marker>
          <c:val>
            <c:numRef>
              <c:f>'CVaR Cluster 2'!$M$2:$M$25</c:f>
              <c:numCache>
                <c:formatCode>General</c:formatCode>
                <c:ptCount val="24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40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98-43BA-849C-9A5B5CA25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2230656"/>
        <c:axId val="1470513360"/>
      </c:lineChart>
      <c:catAx>
        <c:axId val="18922306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513360"/>
        <c:crosses val="autoZero"/>
        <c:auto val="1"/>
        <c:lblAlgn val="ctr"/>
        <c:lblOffset val="100"/>
        <c:tickMarkSkip val="2"/>
        <c:noMultiLvlLbl val="0"/>
      </c:catAx>
      <c:valAx>
        <c:axId val="147051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in"/>
        <c:minorTickMark val="out"/>
        <c:tickLblPos val="nextTo"/>
        <c:spPr>
          <a:solidFill>
            <a:schemeClr val="bg1">
              <a:lumMod val="95000"/>
            </a:schemeClr>
          </a:solidFill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230656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plotVisOnly val="1"/>
    <c:dispBlanksAs val="gap"/>
    <c:showDLblsOverMax val="0"/>
    <c:extLst/>
  </c:chart>
  <c:spPr>
    <a:solidFill>
      <a:schemeClr val="bg1">
        <a:lumMod val="95000"/>
      </a:schemeClr>
    </a:solidFill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'CVaR Cluster 3'!$T$1</c:f>
          <c:strCache>
            <c:ptCount val="1"/>
            <c:pt idx="0">
              <c:v>Curva de oferta para bid de 40 USD/MWh</c:v>
            </c:pt>
          </c:strCache>
        </c:strRef>
      </c:tx>
      <c:layout>
        <c:manualLayout>
          <c:xMode val="edge"/>
          <c:yMode val="edge"/>
          <c:x val="2.1456944444444452E-2"/>
          <c:y val="3.20707070707070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tx2"/>
            </a:solidFill>
            <a:ln>
              <a:noFill/>
            </a:ln>
            <a:effectLst>
              <a:outerShdw blurRad="25400" algn="ctr" rotWithShape="0">
                <a:prstClr val="black">
                  <a:alpha val="90000"/>
                </a:prstClr>
              </a:outerShdw>
            </a:effectLst>
          </c:spPr>
          <c:invertIfNegative val="0"/>
          <c:val>
            <c:numRef>
              <c:f>'CVaR Cluster 3'!$K$2:$K$25</c:f>
              <c:numCache>
                <c:formatCode>General</c:formatCode>
                <c:ptCount val="2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34.753395959393352</c:v>
                </c:pt>
                <c:pt idx="16">
                  <c:v>18.138256615087581</c:v>
                </c:pt>
                <c:pt idx="17">
                  <c:v>22.92750712143744</c:v>
                </c:pt>
                <c:pt idx="18">
                  <c:v>19.479050077770474</c:v>
                </c:pt>
                <c:pt idx="19">
                  <c:v>3.5615993068145619</c:v>
                </c:pt>
                <c:pt idx="20">
                  <c:v>68.36289614514277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30-4197-A72E-771EBEF84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92230656"/>
        <c:axId val="1470513360"/>
      </c:barChart>
      <c:lineChart>
        <c:grouping val="standard"/>
        <c:varyColors val="0"/>
        <c:ser>
          <c:idx val="2"/>
          <c:order val="1"/>
          <c:spPr>
            <a:ln cmpd="sng">
              <a:solidFill>
                <a:schemeClr val="bg1">
                  <a:lumMod val="50000"/>
                </a:schemeClr>
              </a:solidFill>
              <a:prstDash val="sysDash"/>
            </a:ln>
            <a:effectLst>
              <a:outerShdw blurRad="25400" algn="ctr" rotWithShape="0">
                <a:prstClr val="black">
                  <a:alpha val="50000"/>
                </a:prstClr>
              </a:outerShdw>
            </a:effectLst>
          </c:spPr>
          <c:marker>
            <c:symbol val="none"/>
          </c:marker>
          <c:val>
            <c:numRef>
              <c:f>'CVaR Cluster 3'!$N$2:$N$25</c:f>
              <c:numCache>
                <c:formatCode>General</c:formatCode>
                <c:ptCount val="24"/>
                <c:pt idx="0">
                  <c:v>38.802459016393435</c:v>
                </c:pt>
                <c:pt idx="1">
                  <c:v>37.184426229508219</c:v>
                </c:pt>
                <c:pt idx="2">
                  <c:v>36.150819672131149</c:v>
                </c:pt>
                <c:pt idx="3">
                  <c:v>37.049999999999997</c:v>
                </c:pt>
                <c:pt idx="4">
                  <c:v>38.216393442622973</c:v>
                </c:pt>
                <c:pt idx="5">
                  <c:v>47.561475409836063</c:v>
                </c:pt>
                <c:pt idx="6">
                  <c:v>70.092622950819674</c:v>
                </c:pt>
                <c:pt idx="7">
                  <c:v>72.681967213114788</c:v>
                </c:pt>
                <c:pt idx="8">
                  <c:v>44.972131147540971</c:v>
                </c:pt>
                <c:pt idx="9">
                  <c:v>35.022131147540982</c:v>
                </c:pt>
                <c:pt idx="10">
                  <c:v>35.838524590163949</c:v>
                </c:pt>
                <c:pt idx="11">
                  <c:v>38.904918032786867</c:v>
                </c:pt>
                <c:pt idx="12">
                  <c:v>42.532786885245876</c:v>
                </c:pt>
                <c:pt idx="13">
                  <c:v>62.432786885245889</c:v>
                </c:pt>
                <c:pt idx="14">
                  <c:v>139.65983606557376</c:v>
                </c:pt>
                <c:pt idx="15">
                  <c:v>218.49672131147545</c:v>
                </c:pt>
                <c:pt idx="16">
                  <c:v>327.32950819672124</c:v>
                </c:pt>
                <c:pt idx="17">
                  <c:v>302.24508196721308</c:v>
                </c:pt>
                <c:pt idx="18">
                  <c:v>353.90655737704935</c:v>
                </c:pt>
                <c:pt idx="19">
                  <c:v>586.24999999999989</c:v>
                </c:pt>
                <c:pt idx="20">
                  <c:v>280.18524590163929</c:v>
                </c:pt>
                <c:pt idx="21">
                  <c:v>63.700819672131111</c:v>
                </c:pt>
                <c:pt idx="22">
                  <c:v>48.072950819672123</c:v>
                </c:pt>
                <c:pt idx="23">
                  <c:v>26.876229508196712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30-4197-A72E-771EBEF849AA}"/>
            </c:ext>
          </c:extLst>
        </c:ser>
        <c:ser>
          <c:idx val="0"/>
          <c:order val="2"/>
          <c:spPr>
            <a:ln cmpd="sng">
              <a:solidFill>
                <a:schemeClr val="bg1"/>
              </a:solidFill>
              <a:prstDash val="sysDash"/>
            </a:ln>
            <a:effectLst>
              <a:outerShdw blurRad="25400" algn="ctr" rotWithShape="0">
                <a:prstClr val="black">
                  <a:alpha val="50000"/>
                </a:prstClr>
              </a:outerShdw>
            </a:effectLst>
          </c:spPr>
          <c:marker>
            <c:symbol val="none"/>
          </c:marker>
          <c:val>
            <c:numRef>
              <c:f>'CVaR Cluster 3'!$M$2:$M$25</c:f>
              <c:numCache>
                <c:formatCode>General</c:formatCode>
                <c:ptCount val="24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40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30-4197-A72E-771EBEF84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2230656"/>
        <c:axId val="1470513360"/>
      </c:lineChart>
      <c:catAx>
        <c:axId val="18922306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513360"/>
        <c:crosses val="autoZero"/>
        <c:auto val="1"/>
        <c:lblAlgn val="ctr"/>
        <c:lblOffset val="100"/>
        <c:tickMarkSkip val="2"/>
        <c:noMultiLvlLbl val="0"/>
      </c:catAx>
      <c:valAx>
        <c:axId val="147051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in"/>
        <c:minorTickMark val="out"/>
        <c:tickLblPos val="nextTo"/>
        <c:spPr>
          <a:solidFill>
            <a:schemeClr val="bg1">
              <a:lumMod val="95000"/>
            </a:schemeClr>
          </a:solidFill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230656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plotVisOnly val="1"/>
    <c:dispBlanksAs val="gap"/>
    <c:showDLblsOverMax val="0"/>
    <c:extLst/>
  </c:chart>
  <c:spPr>
    <a:solidFill>
      <a:schemeClr val="bg1">
        <a:lumMod val="95000"/>
      </a:schemeClr>
    </a:solidFill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'CVaR Cluster'!$T$1</c:f>
          <c:strCache>
            <c:ptCount val="1"/>
            <c:pt idx="0">
              <c:v>Curva de oferta para lance de 96 USD/MWh</c:v>
            </c:pt>
          </c:strCache>
        </c:strRef>
      </c:tx>
      <c:layout>
        <c:manualLayout>
          <c:xMode val="edge"/>
          <c:yMode val="edge"/>
          <c:x val="2.1456944444444452E-2"/>
          <c:y val="3.20707070707070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'CVaR Cluster'!$K$2:$K$25</c:f>
              <c:numCache>
                <c:formatCode>General</c:formatCode>
                <c:ptCount val="2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54.983598882759402</c:v>
                </c:pt>
                <c:pt idx="7">
                  <c:v>69.299220135985365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6.1130194705613849</c:v>
                </c:pt>
                <c:pt idx="15">
                  <c:v>5.6319092144995233</c:v>
                </c:pt>
                <c:pt idx="16">
                  <c:v>2.8308249728051589</c:v>
                </c:pt>
                <c:pt idx="17">
                  <c:v>0.85376952854306998</c:v>
                </c:pt>
                <c:pt idx="18">
                  <c:v>0</c:v>
                </c:pt>
                <c:pt idx="19">
                  <c:v>0</c:v>
                </c:pt>
                <c:pt idx="20">
                  <c:v>5.3357756948753873E-2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A-47AB-AB72-8D75358A4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23630927"/>
        <c:axId val="344350863"/>
      </c:barChart>
      <c:lineChart>
        <c:grouping val="standard"/>
        <c:varyColors val="0"/>
        <c:ser>
          <c:idx val="2"/>
          <c:order val="1"/>
          <c:spPr>
            <a:ln w="19050" cmpd="sng">
              <a:solidFill>
                <a:schemeClr val="accent3">
                  <a:lumMod val="60000"/>
                  <a:lumOff val="40000"/>
                </a:schemeClr>
              </a:solidFill>
              <a:prstDash val="solid"/>
            </a:ln>
            <a:effectLst/>
          </c:spPr>
          <c:marker>
            <c:symbol val="none"/>
          </c:marker>
          <c:val>
            <c:numRef>
              <c:f>'CVaR Cluster'!$N$2:$N$25</c:f>
              <c:numCache>
                <c:formatCode>0</c:formatCode>
                <c:ptCount val="24"/>
                <c:pt idx="0">
                  <c:v>24.533215156304099</c:v>
                </c:pt>
                <c:pt idx="1">
                  <c:v>22.7343036529725</c:v>
                </c:pt>
                <c:pt idx="2">
                  <c:v>22.239043378997199</c:v>
                </c:pt>
                <c:pt idx="3">
                  <c:v>22.776369336142398</c:v>
                </c:pt>
                <c:pt idx="4">
                  <c:v>23.614348687837499</c:v>
                </c:pt>
                <c:pt idx="5">
                  <c:v>29.2129240867561</c:v>
                </c:pt>
                <c:pt idx="6">
                  <c:v>40.067658763610901</c:v>
                </c:pt>
                <c:pt idx="7">
                  <c:v>41.037422700583498</c:v>
                </c:pt>
                <c:pt idx="8">
                  <c:v>27.5770936073068</c:v>
                </c:pt>
                <c:pt idx="9">
                  <c:v>22.251264383561601</c:v>
                </c:pt>
                <c:pt idx="10">
                  <c:v>21.970527748507699</c:v>
                </c:pt>
                <c:pt idx="11">
                  <c:v>23.277410958904898</c:v>
                </c:pt>
                <c:pt idx="12">
                  <c:v>24.931159817355201</c:v>
                </c:pt>
                <c:pt idx="13">
                  <c:v>32.421539471375297</c:v>
                </c:pt>
                <c:pt idx="14">
                  <c:v>54.8225483171109</c:v>
                </c:pt>
                <c:pt idx="15">
                  <c:v>79.635087987352506</c:v>
                </c:pt>
                <c:pt idx="16">
                  <c:v>116.005141552515</c:v>
                </c:pt>
                <c:pt idx="17">
                  <c:v>108.78282525466</c:v>
                </c:pt>
                <c:pt idx="18">
                  <c:v>127.679706884439</c:v>
                </c:pt>
                <c:pt idx="19">
                  <c:v>201.66671981859099</c:v>
                </c:pt>
                <c:pt idx="20">
                  <c:v>108.16938127853901</c:v>
                </c:pt>
                <c:pt idx="21">
                  <c:v>37.688359501227303</c:v>
                </c:pt>
                <c:pt idx="22">
                  <c:v>29.753302423602701</c:v>
                </c:pt>
                <c:pt idx="23">
                  <c:v>13.010692784383499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68A-47AB-AB72-8D75358A40D7}"/>
            </c:ext>
          </c:extLst>
        </c:ser>
        <c:ser>
          <c:idx val="0"/>
          <c:order val="2"/>
          <c:spPr>
            <a:ln cmpd="sng">
              <a:solidFill>
                <a:schemeClr val="accent4"/>
              </a:solidFill>
              <a:prstDash val="solid"/>
            </a:ln>
            <a:effectLst/>
          </c:spPr>
          <c:marker>
            <c:symbol val="none"/>
          </c:marker>
          <c:val>
            <c:numRef>
              <c:f>'CVaR Cluster'!$M$2:$M$25</c:f>
              <c:numCache>
                <c:formatCode>General</c:formatCode>
                <c:ptCount val="24"/>
                <c:pt idx="0">
                  <c:v>96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96</c:v>
                </c:pt>
                <c:pt idx="10">
                  <c:v>96</c:v>
                </c:pt>
                <c:pt idx="11">
                  <c:v>96</c:v>
                </c:pt>
                <c:pt idx="12">
                  <c:v>96</c:v>
                </c:pt>
                <c:pt idx="13">
                  <c:v>96</c:v>
                </c:pt>
                <c:pt idx="14">
                  <c:v>96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8A-47AB-AB72-8D75358A4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2230656"/>
        <c:axId val="1470513360"/>
      </c:lineChart>
      <c:catAx>
        <c:axId val="18922306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6350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513360"/>
        <c:crosses val="autoZero"/>
        <c:auto val="1"/>
        <c:lblAlgn val="ctr"/>
        <c:lblOffset val="100"/>
        <c:tickLblSkip val="4"/>
        <c:tickMarkSkip val="2"/>
        <c:noMultiLvlLbl val="0"/>
      </c:catAx>
      <c:valAx>
        <c:axId val="1470513360"/>
        <c:scaling>
          <c:orientation val="minMax"/>
          <c:max val="200"/>
        </c:scaling>
        <c:delete val="0"/>
        <c:axPos val="l"/>
        <c:majorGridlines>
          <c:spPr>
            <a:ln w="3175" cap="flat" cmpd="sng" algn="ctr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230656"/>
        <c:crosses val="autoZero"/>
        <c:crossBetween val="between"/>
        <c:majorUnit val="50"/>
      </c:valAx>
      <c:valAx>
        <c:axId val="344350863"/>
        <c:scaling>
          <c:orientation val="minMax"/>
          <c:max val="15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600" baseline="0">
                <a:solidFill>
                  <a:schemeClr val="tx1">
                    <a:lumMod val="65000"/>
                    <a:lumOff val="35000"/>
                  </a:schemeClr>
                </a:solidFill>
              </a:defRPr>
            </a:pPr>
            <a:endParaRPr lang="en-US"/>
          </a:p>
        </c:txPr>
        <c:crossAx val="1223630927"/>
        <c:crosses val="max"/>
        <c:crossBetween val="between"/>
        <c:majorUnit val="50"/>
      </c:valAx>
      <c:catAx>
        <c:axId val="1223630927"/>
        <c:scaling>
          <c:orientation val="minMax"/>
        </c:scaling>
        <c:delete val="1"/>
        <c:axPos val="b"/>
        <c:majorTickMark val="out"/>
        <c:minorTickMark val="none"/>
        <c:tickLblPos val="nextTo"/>
        <c:crossAx val="344350863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</c:spPr>
    </c:plotArea>
    <c:plotVisOnly val="1"/>
    <c:dispBlanksAs val="gap"/>
    <c:showDLblsOverMax val="0"/>
    <c:extLst/>
  </c:chart>
  <c:spPr>
    <a:solidFill>
      <a:schemeClr val="bg1"/>
    </a:solidFill>
    <a:ln>
      <a:solidFill>
        <a:schemeClr val="accent3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/>
              <a:t>Curva de receita para os</a:t>
            </a:r>
            <a:r>
              <a:rPr lang="en-US" sz="800" baseline="0"/>
              <a:t> cenários - sem CVaR, com CVaR e com agrupamento</a:t>
            </a:r>
            <a:endParaRPr lang="en-US" sz="800"/>
          </a:p>
        </c:rich>
      </c:tx>
      <c:layout>
        <c:manualLayout>
          <c:xMode val="edge"/>
          <c:yMode val="edge"/>
          <c:x val="2.3544359438518476E-2"/>
          <c:y val="2.35643735762701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[E.]</c:v>
          </c:tx>
          <c:spPr>
            <a:ln w="190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val>
            <c:numRef>
              <c:f>'CVaR Cluster'!$B$31:$B$158</c:f>
              <c:numCache>
                <c:formatCode>_-* #,##0_-;\-* #,##0_-;_-* "-"??_-;_-@_-</c:formatCode>
                <c:ptCount val="128"/>
                <c:pt idx="0">
                  <c:v>-58.12300045202786</c:v>
                </c:pt>
                <c:pt idx="1">
                  <c:v>-42.470988605225223</c:v>
                </c:pt>
                <c:pt idx="2">
                  <c:v>-19.20282270433454</c:v>
                </c:pt>
                <c:pt idx="3">
                  <c:v>-12.891704341435101</c:v>
                </c:pt>
                <c:pt idx="4">
                  <c:v>-11.670093175127757</c:v>
                </c:pt>
                <c:pt idx="5">
                  <c:v>-11.306733579409483</c:v>
                </c:pt>
                <c:pt idx="6">
                  <c:v>-3.4460998794796214</c:v>
                </c:pt>
                <c:pt idx="7">
                  <c:v>-3.2929751588113443</c:v>
                </c:pt>
                <c:pt idx="8">
                  <c:v>-2.4384136522345772</c:v>
                </c:pt>
                <c:pt idx="9">
                  <c:v>-2.3066221016785615</c:v>
                </c:pt>
                <c:pt idx="10">
                  <c:v>-1.9881037513978908</c:v>
                </c:pt>
                <c:pt idx="11">
                  <c:v>-0.10160393218531136</c:v>
                </c:pt>
                <c:pt idx="12">
                  <c:v>1.8050486729575796</c:v>
                </c:pt>
                <c:pt idx="13">
                  <c:v>2.4294063603223366</c:v>
                </c:pt>
                <c:pt idx="14">
                  <c:v>5.0502892404216952</c:v>
                </c:pt>
                <c:pt idx="15">
                  <c:v>7.7771145511483217</c:v>
                </c:pt>
                <c:pt idx="16">
                  <c:v>8.2397599974789433</c:v>
                </c:pt>
                <c:pt idx="17">
                  <c:v>9.9011180188295285</c:v>
                </c:pt>
                <c:pt idx="18">
                  <c:v>11.038215485317817</c:v>
                </c:pt>
                <c:pt idx="19">
                  <c:v>12.707404052716612</c:v>
                </c:pt>
                <c:pt idx="20">
                  <c:v>13.156009318283848</c:v>
                </c:pt>
                <c:pt idx="21">
                  <c:v>14.548890915259983</c:v>
                </c:pt>
                <c:pt idx="22">
                  <c:v>16.507131070943878</c:v>
                </c:pt>
                <c:pt idx="23">
                  <c:v>16.817849591941396</c:v>
                </c:pt>
                <c:pt idx="24">
                  <c:v>18.243261652229606</c:v>
                </c:pt>
                <c:pt idx="25">
                  <c:v>19.812600321363011</c:v>
                </c:pt>
                <c:pt idx="26">
                  <c:v>21.865646804774464</c:v>
                </c:pt>
                <c:pt idx="27">
                  <c:v>22.51873364973542</c:v>
                </c:pt>
                <c:pt idx="28">
                  <c:v>23.55051752668399</c:v>
                </c:pt>
                <c:pt idx="29">
                  <c:v>23.842790772127007</c:v>
                </c:pt>
                <c:pt idx="30">
                  <c:v>24.916367043314583</c:v>
                </c:pt>
                <c:pt idx="31">
                  <c:v>26.693083666041595</c:v>
                </c:pt>
                <c:pt idx="32">
                  <c:v>27.0244652454464</c:v>
                </c:pt>
                <c:pt idx="33">
                  <c:v>27.239432045181996</c:v>
                </c:pt>
                <c:pt idx="34">
                  <c:v>27.512329478986665</c:v>
                </c:pt>
                <c:pt idx="35">
                  <c:v>28.093296052737326</c:v>
                </c:pt>
                <c:pt idx="36">
                  <c:v>28.524398392944789</c:v>
                </c:pt>
                <c:pt idx="37">
                  <c:v>29.096364640203912</c:v>
                </c:pt>
                <c:pt idx="38">
                  <c:v>29.494673951049023</c:v>
                </c:pt>
                <c:pt idx="39">
                  <c:v>29.908514927822974</c:v>
                </c:pt>
                <c:pt idx="40">
                  <c:v>30.859231256809945</c:v>
                </c:pt>
                <c:pt idx="41">
                  <c:v>31.539379964868999</c:v>
                </c:pt>
                <c:pt idx="42">
                  <c:v>32.363883332029609</c:v>
                </c:pt>
                <c:pt idx="43">
                  <c:v>34.110645358437203</c:v>
                </c:pt>
                <c:pt idx="44">
                  <c:v>35.335725047084821</c:v>
                </c:pt>
                <c:pt idx="45">
                  <c:v>35.886127296929793</c:v>
                </c:pt>
                <c:pt idx="46">
                  <c:v>36.207092170737454</c:v>
                </c:pt>
                <c:pt idx="47">
                  <c:v>36.423813217779355</c:v>
                </c:pt>
                <c:pt idx="48">
                  <c:v>39.104760936575964</c:v>
                </c:pt>
                <c:pt idx="49">
                  <c:v>40.051386400371229</c:v>
                </c:pt>
                <c:pt idx="50">
                  <c:v>41.586399683660268</c:v>
                </c:pt>
                <c:pt idx="51">
                  <c:v>42.463873993694612</c:v>
                </c:pt>
                <c:pt idx="52">
                  <c:v>43.088131746381862</c:v>
                </c:pt>
                <c:pt idx="53">
                  <c:v>44.442873079704647</c:v>
                </c:pt>
                <c:pt idx="54">
                  <c:v>44.888713807887989</c:v>
                </c:pt>
                <c:pt idx="55">
                  <c:v>46.403904399227123</c:v>
                </c:pt>
                <c:pt idx="56">
                  <c:v>47.284512703093327</c:v>
                </c:pt>
                <c:pt idx="57">
                  <c:v>48.157646772114951</c:v>
                </c:pt>
                <c:pt idx="58">
                  <c:v>49.307205820480085</c:v>
                </c:pt>
                <c:pt idx="59">
                  <c:v>50.224316856250553</c:v>
                </c:pt>
                <c:pt idx="60">
                  <c:v>50.430239444961131</c:v>
                </c:pt>
                <c:pt idx="61">
                  <c:v>50.964811746369641</c:v>
                </c:pt>
                <c:pt idx="62">
                  <c:v>51.399746352744479</c:v>
                </c:pt>
                <c:pt idx="63">
                  <c:v>52.2572967255945</c:v>
                </c:pt>
                <c:pt idx="64">
                  <c:v>53.879420552398351</c:v>
                </c:pt>
                <c:pt idx="65">
                  <c:v>54.127266930262898</c:v>
                </c:pt>
                <c:pt idx="66">
                  <c:v>54.916172248395398</c:v>
                </c:pt>
                <c:pt idx="67">
                  <c:v>55.653505855564141</c:v>
                </c:pt>
                <c:pt idx="68">
                  <c:v>56.419764818513066</c:v>
                </c:pt>
                <c:pt idx="69">
                  <c:v>56.947272615221401</c:v>
                </c:pt>
                <c:pt idx="70">
                  <c:v>57.146980354051898</c:v>
                </c:pt>
                <c:pt idx="71">
                  <c:v>57.811373802848358</c:v>
                </c:pt>
                <c:pt idx="72">
                  <c:v>58.334224821074272</c:v>
                </c:pt>
                <c:pt idx="73">
                  <c:v>58.631891658603777</c:v>
                </c:pt>
                <c:pt idx="74">
                  <c:v>59.608755440033818</c:v>
                </c:pt>
                <c:pt idx="75">
                  <c:v>59.920540027614457</c:v>
                </c:pt>
                <c:pt idx="76">
                  <c:v>61.439672951681793</c:v>
                </c:pt>
                <c:pt idx="77">
                  <c:v>63.066299789050156</c:v>
                </c:pt>
                <c:pt idx="78">
                  <c:v>63.985932215978366</c:v>
                </c:pt>
                <c:pt idx="79">
                  <c:v>65.304570694310669</c:v>
                </c:pt>
                <c:pt idx="80">
                  <c:v>66.492638295290774</c:v>
                </c:pt>
                <c:pt idx="81">
                  <c:v>67.007903748905761</c:v>
                </c:pt>
                <c:pt idx="82">
                  <c:v>68.200248672942678</c:v>
                </c:pt>
                <c:pt idx="83">
                  <c:v>69.4736295291939</c:v>
                </c:pt>
                <c:pt idx="84">
                  <c:v>72.51592739484353</c:v>
                </c:pt>
                <c:pt idx="85">
                  <c:v>75.313432760859513</c:v>
                </c:pt>
                <c:pt idx="86">
                  <c:v>78.239269875699364</c:v>
                </c:pt>
                <c:pt idx="87">
                  <c:v>79.645894794751115</c:v>
                </c:pt>
                <c:pt idx="88">
                  <c:v>81.654331849412713</c:v>
                </c:pt>
                <c:pt idx="89">
                  <c:v>82.380453747629403</c:v>
                </c:pt>
                <c:pt idx="90">
                  <c:v>84.013576130513528</c:v>
                </c:pt>
                <c:pt idx="91">
                  <c:v>86.472853170084903</c:v>
                </c:pt>
                <c:pt idx="92">
                  <c:v>87.21768838923262</c:v>
                </c:pt>
                <c:pt idx="93">
                  <c:v>88.147241034509435</c:v>
                </c:pt>
                <c:pt idx="94">
                  <c:v>89.277669810483388</c:v>
                </c:pt>
                <c:pt idx="95">
                  <c:v>89.996669755202632</c:v>
                </c:pt>
                <c:pt idx="96">
                  <c:v>90.398871008137618</c:v>
                </c:pt>
                <c:pt idx="97">
                  <c:v>91.901524574884903</c:v>
                </c:pt>
                <c:pt idx="98">
                  <c:v>92.964963188937105</c:v>
                </c:pt>
                <c:pt idx="99">
                  <c:v>94.772104361644026</c:v>
                </c:pt>
                <c:pt idx="100">
                  <c:v>97.724614392976193</c:v>
                </c:pt>
                <c:pt idx="101">
                  <c:v>102.89101825990336</c:v>
                </c:pt>
                <c:pt idx="102">
                  <c:v>105.26812377650516</c:v>
                </c:pt>
                <c:pt idx="103">
                  <c:v>109.39136067793395</c:v>
                </c:pt>
                <c:pt idx="104">
                  <c:v>112.9414639346824</c:v>
                </c:pt>
                <c:pt idx="105">
                  <c:v>115.08531489017425</c:v>
                </c:pt>
                <c:pt idx="106">
                  <c:v>117.09773482473679</c:v>
                </c:pt>
                <c:pt idx="107">
                  <c:v>119.19755535711894</c:v>
                </c:pt>
                <c:pt idx="108">
                  <c:v>121.63052724167673</c:v>
                </c:pt>
                <c:pt idx="109">
                  <c:v>123.20998847962956</c:v>
                </c:pt>
                <c:pt idx="110">
                  <c:v>126.37950048465289</c:v>
                </c:pt>
                <c:pt idx="111">
                  <c:v>135.09797410169963</c:v>
                </c:pt>
                <c:pt idx="112">
                  <c:v>149.16714827370103</c:v>
                </c:pt>
                <c:pt idx="113">
                  <c:v>153.77462884372466</c:v>
                </c:pt>
                <c:pt idx="114">
                  <c:v>160.5808526955521</c:v>
                </c:pt>
                <c:pt idx="115">
                  <c:v>164.52962333961437</c:v>
                </c:pt>
                <c:pt idx="116">
                  <c:v>178.07568556318088</c:v>
                </c:pt>
                <c:pt idx="117">
                  <c:v>191.84138580543609</c:v>
                </c:pt>
                <c:pt idx="118">
                  <c:v>215.21483561333295</c:v>
                </c:pt>
                <c:pt idx="119">
                  <c:v>227.10344966185824</c:v>
                </c:pt>
                <c:pt idx="120">
                  <c:v>260.01485843979282</c:v>
                </c:pt>
                <c:pt idx="121">
                  <c:v>292.28192551159242</c:v>
                </c:pt>
                <c:pt idx="122">
                  <c:v>330.6188479509126</c:v>
                </c:pt>
                <c:pt idx="123">
                  <c:v>344.11843907045068</c:v>
                </c:pt>
                <c:pt idx="124">
                  <c:v>354.94151750608268</c:v>
                </c:pt>
                <c:pt idx="125">
                  <c:v>427.69785106860121</c:v>
                </c:pt>
                <c:pt idx="126">
                  <c:v>484.65879645203722</c:v>
                </c:pt>
                <c:pt idx="127">
                  <c:v>741.39498838162729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86-4FB2-BD0A-7D637A7A7108}"/>
            </c:ext>
          </c:extLst>
        </c:ser>
        <c:ser>
          <c:idx val="1"/>
          <c:order val="1"/>
          <c:tx>
            <c:v>CVaR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'CVaR Cluster'!$C$31:$C$158</c:f>
              <c:numCache>
                <c:formatCode>_-* #,##0_-;\-* #,##0_-;_-* "-"??_-;_-@_-</c:formatCode>
                <c:ptCount val="128"/>
                <c:pt idx="0">
                  <c:v>-18.469388190949211</c:v>
                </c:pt>
                <c:pt idx="1">
                  <c:v>-13.3429848271861</c:v>
                </c:pt>
                <c:pt idx="2">
                  <c:v>-6.3173916061572708</c:v>
                </c:pt>
                <c:pt idx="3">
                  <c:v>-3.4460998794796214</c:v>
                </c:pt>
                <c:pt idx="4">
                  <c:v>-3.2929751588113443</c:v>
                </c:pt>
                <c:pt idx="5">
                  <c:v>-3.1464771087689152</c:v>
                </c:pt>
                <c:pt idx="6">
                  <c:v>-0.10160393218531136</c:v>
                </c:pt>
                <c:pt idx="7">
                  <c:v>0.2033585742663869</c:v>
                </c:pt>
                <c:pt idx="8">
                  <c:v>1.3227728115888018</c:v>
                </c:pt>
                <c:pt idx="9">
                  <c:v>2.227233529216647</c:v>
                </c:pt>
                <c:pt idx="10">
                  <c:v>2.4294063603223366</c:v>
                </c:pt>
                <c:pt idx="11">
                  <c:v>3.0990524026680513</c:v>
                </c:pt>
                <c:pt idx="12">
                  <c:v>4.4183765711976193</c:v>
                </c:pt>
                <c:pt idx="13">
                  <c:v>6.5880962107069223</c:v>
                </c:pt>
                <c:pt idx="14">
                  <c:v>7.5879165269235411</c:v>
                </c:pt>
                <c:pt idx="15">
                  <c:v>8.3295061664962624</c:v>
                </c:pt>
                <c:pt idx="16">
                  <c:v>10.065258630215192</c:v>
                </c:pt>
                <c:pt idx="17">
                  <c:v>12.514485138720556</c:v>
                </c:pt>
                <c:pt idx="18">
                  <c:v>13.18319057013704</c:v>
                </c:pt>
                <c:pt idx="19">
                  <c:v>14.604680256117211</c:v>
                </c:pt>
                <c:pt idx="20">
                  <c:v>15.381491737143776</c:v>
                </c:pt>
                <c:pt idx="21">
                  <c:v>16.296943161315884</c:v>
                </c:pt>
                <c:pt idx="22">
                  <c:v>16.59060598094436</c:v>
                </c:pt>
                <c:pt idx="23">
                  <c:v>17.503044085363765</c:v>
                </c:pt>
                <c:pt idx="24">
                  <c:v>19.389053838513181</c:v>
                </c:pt>
                <c:pt idx="25">
                  <c:v>19.774858706557584</c:v>
                </c:pt>
                <c:pt idx="26">
                  <c:v>20.528537451012451</c:v>
                </c:pt>
                <c:pt idx="27">
                  <c:v>21.008243191415893</c:v>
                </c:pt>
                <c:pt idx="28">
                  <c:v>21.815934977455562</c:v>
                </c:pt>
                <c:pt idx="29">
                  <c:v>22.346239943511883</c:v>
                </c:pt>
                <c:pt idx="30">
                  <c:v>23.538457777873965</c:v>
                </c:pt>
                <c:pt idx="31">
                  <c:v>24.867259184547937</c:v>
                </c:pt>
                <c:pt idx="32">
                  <c:v>25.31699805046814</c:v>
                </c:pt>
                <c:pt idx="33">
                  <c:v>26.007108609274145</c:v>
                </c:pt>
                <c:pt idx="34">
                  <c:v>26.206296765170453</c:v>
                </c:pt>
                <c:pt idx="35">
                  <c:v>26.492870929343596</c:v>
                </c:pt>
                <c:pt idx="36">
                  <c:v>26.709355439523165</c:v>
                </c:pt>
                <c:pt idx="37">
                  <c:v>27.184251472649084</c:v>
                </c:pt>
                <c:pt idx="38">
                  <c:v>27.445694558283961</c:v>
                </c:pt>
                <c:pt idx="39">
                  <c:v>28.022435381133054</c:v>
                </c:pt>
                <c:pt idx="40">
                  <c:v>28.263431915558513</c:v>
                </c:pt>
                <c:pt idx="41">
                  <c:v>29.062403342150009</c:v>
                </c:pt>
                <c:pt idx="42">
                  <c:v>29.910774596272557</c:v>
                </c:pt>
                <c:pt idx="43">
                  <c:v>30.795845858075477</c:v>
                </c:pt>
                <c:pt idx="44">
                  <c:v>31.139522897743763</c:v>
                </c:pt>
                <c:pt idx="45">
                  <c:v>32.337174128773583</c:v>
                </c:pt>
                <c:pt idx="46">
                  <c:v>32.685651629604827</c:v>
                </c:pt>
                <c:pt idx="47">
                  <c:v>33.778320937775284</c:v>
                </c:pt>
                <c:pt idx="48">
                  <c:v>34.527174284429769</c:v>
                </c:pt>
                <c:pt idx="49">
                  <c:v>34.915723936128934</c:v>
                </c:pt>
                <c:pt idx="50">
                  <c:v>35.643284867861205</c:v>
                </c:pt>
                <c:pt idx="51">
                  <c:v>36.110755907139286</c:v>
                </c:pt>
                <c:pt idx="52">
                  <c:v>36.564155168899937</c:v>
                </c:pt>
                <c:pt idx="53">
                  <c:v>37.018803457682111</c:v>
                </c:pt>
                <c:pt idx="54">
                  <c:v>38.213427418087093</c:v>
                </c:pt>
                <c:pt idx="55">
                  <c:v>38.995773055533427</c:v>
                </c:pt>
                <c:pt idx="56">
                  <c:v>40.780376102824583</c:v>
                </c:pt>
                <c:pt idx="57">
                  <c:v>41.086482385427807</c:v>
                </c:pt>
                <c:pt idx="58">
                  <c:v>41.72207468226803</c:v>
                </c:pt>
                <c:pt idx="59">
                  <c:v>42.655660195999268</c:v>
                </c:pt>
                <c:pt idx="60">
                  <c:v>43.250795584069479</c:v>
                </c:pt>
                <c:pt idx="61">
                  <c:v>44.245888569021545</c:v>
                </c:pt>
                <c:pt idx="62">
                  <c:v>44.814862371073787</c:v>
                </c:pt>
                <c:pt idx="63">
                  <c:v>45.82299148941491</c:v>
                </c:pt>
                <c:pt idx="64">
                  <c:v>46.969882613258292</c:v>
                </c:pt>
                <c:pt idx="65">
                  <c:v>47.536260938913777</c:v>
                </c:pt>
                <c:pt idx="66">
                  <c:v>47.986850220010083</c:v>
                </c:pt>
                <c:pt idx="67">
                  <c:v>49.094032387468324</c:v>
                </c:pt>
                <c:pt idx="68">
                  <c:v>49.362461285976408</c:v>
                </c:pt>
                <c:pt idx="69">
                  <c:v>50.120309987839768</c:v>
                </c:pt>
                <c:pt idx="70">
                  <c:v>50.203447867129093</c:v>
                </c:pt>
                <c:pt idx="71">
                  <c:v>50.629558486276188</c:v>
                </c:pt>
                <c:pt idx="72">
                  <c:v>51.190789259192485</c:v>
                </c:pt>
                <c:pt idx="73">
                  <c:v>51.755976391785083</c:v>
                </c:pt>
                <c:pt idx="74">
                  <c:v>52.489207195048358</c:v>
                </c:pt>
                <c:pt idx="75">
                  <c:v>53.579356613067787</c:v>
                </c:pt>
                <c:pt idx="76">
                  <c:v>53.9639307643819</c:v>
                </c:pt>
                <c:pt idx="77">
                  <c:v>55.739732791253466</c:v>
                </c:pt>
                <c:pt idx="78">
                  <c:v>56.419764818513066</c:v>
                </c:pt>
                <c:pt idx="79">
                  <c:v>57.145372192727237</c:v>
                </c:pt>
                <c:pt idx="80">
                  <c:v>57.498825597012939</c:v>
                </c:pt>
                <c:pt idx="81">
                  <c:v>57.752626165870737</c:v>
                </c:pt>
                <c:pt idx="82">
                  <c:v>58.676690732858248</c:v>
                </c:pt>
                <c:pt idx="83">
                  <c:v>59.568923015771439</c:v>
                </c:pt>
                <c:pt idx="84">
                  <c:v>60.340591211984417</c:v>
                </c:pt>
                <c:pt idx="85">
                  <c:v>61.559382002305654</c:v>
                </c:pt>
                <c:pt idx="86">
                  <c:v>61.896971005940948</c:v>
                </c:pt>
                <c:pt idx="87">
                  <c:v>63.268091102406544</c:v>
                </c:pt>
                <c:pt idx="88">
                  <c:v>65.755848569439138</c:v>
                </c:pt>
                <c:pt idx="89">
                  <c:v>67.27187773378526</c:v>
                </c:pt>
                <c:pt idx="90">
                  <c:v>68.130345523658377</c:v>
                </c:pt>
                <c:pt idx="91">
                  <c:v>69.181703976212304</c:v>
                </c:pt>
                <c:pt idx="92">
                  <c:v>70.320931565478986</c:v>
                </c:pt>
                <c:pt idx="93">
                  <c:v>71.560752247036419</c:v>
                </c:pt>
                <c:pt idx="94">
                  <c:v>73.808524238110181</c:v>
                </c:pt>
                <c:pt idx="95">
                  <c:v>74.774694193426114</c:v>
                </c:pt>
                <c:pt idx="96">
                  <c:v>75.810780533075047</c:v>
                </c:pt>
                <c:pt idx="97">
                  <c:v>77.631470467897543</c:v>
                </c:pt>
                <c:pt idx="98">
                  <c:v>79.29134820551397</c:v>
                </c:pt>
                <c:pt idx="99">
                  <c:v>81.249979390380645</c:v>
                </c:pt>
                <c:pt idx="100">
                  <c:v>81.633096552390029</c:v>
                </c:pt>
                <c:pt idx="101">
                  <c:v>82.847901587463284</c:v>
                </c:pt>
                <c:pt idx="102">
                  <c:v>85.466846934507956</c:v>
                </c:pt>
                <c:pt idx="103">
                  <c:v>86.494814887735686</c:v>
                </c:pt>
                <c:pt idx="104">
                  <c:v>88.156600103067888</c:v>
                </c:pt>
                <c:pt idx="105">
                  <c:v>88.993073127255954</c:v>
                </c:pt>
                <c:pt idx="106">
                  <c:v>89.825911289356952</c:v>
                </c:pt>
                <c:pt idx="107">
                  <c:v>93.04601978490426</c:v>
                </c:pt>
                <c:pt idx="108">
                  <c:v>94.310306600377999</c:v>
                </c:pt>
                <c:pt idx="109">
                  <c:v>95.681399815898246</c:v>
                </c:pt>
                <c:pt idx="110">
                  <c:v>98.58470195730078</c:v>
                </c:pt>
                <c:pt idx="111">
                  <c:v>103.71911589619999</c:v>
                </c:pt>
                <c:pt idx="112">
                  <c:v>104.9622462510884</c:v>
                </c:pt>
                <c:pt idx="113">
                  <c:v>111.48024154510327</c:v>
                </c:pt>
                <c:pt idx="114">
                  <c:v>120.33067188202682</c:v>
                </c:pt>
                <c:pt idx="115">
                  <c:v>131.89120298465113</c:v>
                </c:pt>
                <c:pt idx="116">
                  <c:v>137.49027196040581</c:v>
                </c:pt>
                <c:pt idx="117">
                  <c:v>139.29864482020994</c:v>
                </c:pt>
                <c:pt idx="118">
                  <c:v>150.00808310715203</c:v>
                </c:pt>
                <c:pt idx="119">
                  <c:v>162.1680636698799</c:v>
                </c:pt>
                <c:pt idx="120">
                  <c:v>183.62856438055874</c:v>
                </c:pt>
                <c:pt idx="121">
                  <c:v>194.57012362158224</c:v>
                </c:pt>
                <c:pt idx="122">
                  <c:v>265.22452372220511</c:v>
                </c:pt>
                <c:pt idx="123">
                  <c:v>315.56477833419154</c:v>
                </c:pt>
                <c:pt idx="124">
                  <c:v>343.29659933585509</c:v>
                </c:pt>
                <c:pt idx="125">
                  <c:v>398.93011480024546</c:v>
                </c:pt>
                <c:pt idx="126">
                  <c:v>478.33645062866105</c:v>
                </c:pt>
                <c:pt idx="127">
                  <c:v>730.43408597476571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86-4FB2-BD0A-7D637A7A7108}"/>
            </c:ext>
          </c:extLst>
        </c:ser>
        <c:ser>
          <c:idx val="2"/>
          <c:order val="2"/>
          <c:tx>
            <c:v>Grupos</c:v>
          </c:tx>
          <c:spPr>
            <a:ln w="1905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'CVaR Cluster'!$D$31:$D$158</c:f>
              <c:numCache>
                <c:formatCode>_-* #,##0_-;\-* #,##0_-;_-* "-"??_-;_-@_-</c:formatCode>
                <c:ptCount val="128"/>
                <c:pt idx="0">
                  <c:v>-2.3306619993255744</c:v>
                </c:pt>
                <c:pt idx="1">
                  <c:v>-1.128497143972812</c:v>
                </c:pt>
                <c:pt idx="2">
                  <c:v>-0.14468815250757416</c:v>
                </c:pt>
                <c:pt idx="3">
                  <c:v>2.4652562615769078</c:v>
                </c:pt>
                <c:pt idx="4">
                  <c:v>4.446028925886738</c:v>
                </c:pt>
                <c:pt idx="5">
                  <c:v>5.6726878641316674</c:v>
                </c:pt>
                <c:pt idx="6">
                  <c:v>6.4945461393596995</c:v>
                </c:pt>
                <c:pt idx="7">
                  <c:v>6.8716116717763462</c:v>
                </c:pt>
                <c:pt idx="8">
                  <c:v>8.1436390081617809</c:v>
                </c:pt>
                <c:pt idx="9">
                  <c:v>8.1560416523345207</c:v>
                </c:pt>
                <c:pt idx="10">
                  <c:v>9.3914841823202586</c:v>
                </c:pt>
                <c:pt idx="11">
                  <c:v>9.5754730111254549</c:v>
                </c:pt>
                <c:pt idx="12">
                  <c:v>9.8830341948170801</c:v>
                </c:pt>
                <c:pt idx="13">
                  <c:v>13.710830398304978</c:v>
                </c:pt>
                <c:pt idx="14">
                  <c:v>14.943236140921995</c:v>
                </c:pt>
                <c:pt idx="15">
                  <c:v>15.883058092433547</c:v>
                </c:pt>
                <c:pt idx="16">
                  <c:v>16.918259787907935</c:v>
                </c:pt>
                <c:pt idx="17">
                  <c:v>18.53728484253352</c:v>
                </c:pt>
                <c:pt idx="18">
                  <c:v>20.305647384312579</c:v>
                </c:pt>
                <c:pt idx="19">
                  <c:v>21.156957647004724</c:v>
                </c:pt>
                <c:pt idx="20">
                  <c:v>21.466806351391398</c:v>
                </c:pt>
                <c:pt idx="21">
                  <c:v>22.65612168681665</c:v>
                </c:pt>
                <c:pt idx="22">
                  <c:v>23.802042856052154</c:v>
                </c:pt>
                <c:pt idx="23">
                  <c:v>24.98351195270477</c:v>
                </c:pt>
                <c:pt idx="24">
                  <c:v>25.433205666249098</c:v>
                </c:pt>
                <c:pt idx="25">
                  <c:v>26.695555555555554</c:v>
                </c:pt>
                <c:pt idx="26">
                  <c:v>28.585665697973297</c:v>
                </c:pt>
                <c:pt idx="27">
                  <c:v>30.097657774975133</c:v>
                </c:pt>
                <c:pt idx="28">
                  <c:v>30.564140863518734</c:v>
                </c:pt>
                <c:pt idx="29">
                  <c:v>31.589523078792158</c:v>
                </c:pt>
                <c:pt idx="30">
                  <c:v>34.332881210833648</c:v>
                </c:pt>
                <c:pt idx="31">
                  <c:v>35.021530764850979</c:v>
                </c:pt>
                <c:pt idx="32">
                  <c:v>36.212602636534847</c:v>
                </c:pt>
                <c:pt idx="33">
                  <c:v>36.886364726395172</c:v>
                </c:pt>
                <c:pt idx="34">
                  <c:v>37.800065169034077</c:v>
                </c:pt>
                <c:pt idx="35">
                  <c:v>38.147692693358216</c:v>
                </c:pt>
                <c:pt idx="36">
                  <c:v>39.682810749612543</c:v>
                </c:pt>
                <c:pt idx="37">
                  <c:v>40.354869730223328</c:v>
                </c:pt>
                <c:pt idx="38">
                  <c:v>40.902515332247795</c:v>
                </c:pt>
                <c:pt idx="39">
                  <c:v>42.069053926968216</c:v>
                </c:pt>
                <c:pt idx="40">
                  <c:v>43.949167911922856</c:v>
                </c:pt>
                <c:pt idx="41">
                  <c:v>44.500705362409192</c:v>
                </c:pt>
                <c:pt idx="42">
                  <c:v>45.651530188561551</c:v>
                </c:pt>
                <c:pt idx="43">
                  <c:v>47.220350147758815</c:v>
                </c:pt>
                <c:pt idx="44">
                  <c:v>48.027009953933067</c:v>
                </c:pt>
                <c:pt idx="45">
                  <c:v>48.384468545630554</c:v>
                </c:pt>
                <c:pt idx="46">
                  <c:v>48.827138277514941</c:v>
                </c:pt>
                <c:pt idx="47">
                  <c:v>49.307465160075338</c:v>
                </c:pt>
                <c:pt idx="48">
                  <c:v>50.337702448210919</c:v>
                </c:pt>
                <c:pt idx="49">
                  <c:v>50.649919821622071</c:v>
                </c:pt>
                <c:pt idx="50">
                  <c:v>50.965217614800608</c:v>
                </c:pt>
                <c:pt idx="51">
                  <c:v>52.581603646820255</c:v>
                </c:pt>
                <c:pt idx="52">
                  <c:v>53.466080549144181</c:v>
                </c:pt>
                <c:pt idx="53">
                  <c:v>53.839549870169144</c:v>
                </c:pt>
                <c:pt idx="54">
                  <c:v>54.829313228011124</c:v>
                </c:pt>
                <c:pt idx="55">
                  <c:v>55.947676082862522</c:v>
                </c:pt>
                <c:pt idx="56">
                  <c:v>57.452557714657338</c:v>
                </c:pt>
                <c:pt idx="57">
                  <c:v>58.317334258592922</c:v>
                </c:pt>
                <c:pt idx="58">
                  <c:v>59.232410142414096</c:v>
                </c:pt>
                <c:pt idx="59">
                  <c:v>61.252599336224776</c:v>
                </c:pt>
                <c:pt idx="60">
                  <c:v>62.210931009034923</c:v>
                </c:pt>
                <c:pt idx="61">
                  <c:v>63.08390144285989</c:v>
                </c:pt>
                <c:pt idx="62">
                  <c:v>63.945593144674127</c:v>
                </c:pt>
                <c:pt idx="63">
                  <c:v>65.620830852372777</c:v>
                </c:pt>
                <c:pt idx="64">
                  <c:v>67.182279585644451</c:v>
                </c:pt>
                <c:pt idx="65">
                  <c:v>68.144354462253915</c:v>
                </c:pt>
                <c:pt idx="66">
                  <c:v>69.250023294236797</c:v>
                </c:pt>
                <c:pt idx="67">
                  <c:v>70.58639170005118</c:v>
                </c:pt>
                <c:pt idx="68">
                  <c:v>71.9460830011231</c:v>
                </c:pt>
                <c:pt idx="69">
                  <c:v>73.109070256322369</c:v>
                </c:pt>
                <c:pt idx="70">
                  <c:v>73.234313175001418</c:v>
                </c:pt>
                <c:pt idx="71">
                  <c:v>74.523286657818048</c:v>
                </c:pt>
                <c:pt idx="72">
                  <c:v>75.287327055397455</c:v>
                </c:pt>
                <c:pt idx="73">
                  <c:v>77.704491708255588</c:v>
                </c:pt>
                <c:pt idx="74">
                  <c:v>78.732548382463278</c:v>
                </c:pt>
                <c:pt idx="75">
                  <c:v>82.09591917092952</c:v>
                </c:pt>
                <c:pt idx="76">
                  <c:v>83.264303907925481</c:v>
                </c:pt>
                <c:pt idx="77">
                  <c:v>85.462098715242348</c:v>
                </c:pt>
                <c:pt idx="78">
                  <c:v>86.024906616748311</c:v>
                </c:pt>
                <c:pt idx="79">
                  <c:v>87.84314116002794</c:v>
                </c:pt>
                <c:pt idx="80">
                  <c:v>89.276952255496028</c:v>
                </c:pt>
                <c:pt idx="81">
                  <c:v>89.84018079096046</c:v>
                </c:pt>
                <c:pt idx="82">
                  <c:v>90.529555872059447</c:v>
                </c:pt>
                <c:pt idx="83">
                  <c:v>93.62030885122411</c:v>
                </c:pt>
                <c:pt idx="84">
                  <c:v>95.355628280858866</c:v>
                </c:pt>
                <c:pt idx="85">
                  <c:v>97.30891270307157</c:v>
                </c:pt>
                <c:pt idx="86">
                  <c:v>98.306856714047868</c:v>
                </c:pt>
                <c:pt idx="87">
                  <c:v>101.93126761423942</c:v>
                </c:pt>
                <c:pt idx="88">
                  <c:v>104.47750848583303</c:v>
                </c:pt>
                <c:pt idx="89">
                  <c:v>106.16781864550886</c:v>
                </c:pt>
                <c:pt idx="90">
                  <c:v>109.8993254893803</c:v>
                </c:pt>
                <c:pt idx="91">
                  <c:v>116.51216306291467</c:v>
                </c:pt>
                <c:pt idx="92">
                  <c:v>119.97235100097156</c:v>
                </c:pt>
                <c:pt idx="93">
                  <c:v>123.17708693384286</c:v>
                </c:pt>
                <c:pt idx="94">
                  <c:v>126.80623933459948</c:v>
                </c:pt>
                <c:pt idx="95">
                  <c:v>131.81725056922528</c:v>
                </c:pt>
                <c:pt idx="96">
                  <c:v>132.76675816754886</c:v>
                </c:pt>
                <c:pt idx="97">
                  <c:v>136.18903570669198</c:v>
                </c:pt>
                <c:pt idx="98">
                  <c:v>141.02417429690402</c:v>
                </c:pt>
                <c:pt idx="99">
                  <c:v>142.59451030264819</c:v>
                </c:pt>
                <c:pt idx="100">
                  <c:v>144.79329930874053</c:v>
                </c:pt>
                <c:pt idx="101">
                  <c:v>150.35737853107346</c:v>
                </c:pt>
                <c:pt idx="102">
                  <c:v>155.76250326915726</c:v>
                </c:pt>
                <c:pt idx="103">
                  <c:v>161.17341289413733</c:v>
                </c:pt>
                <c:pt idx="104">
                  <c:v>163.39088357803982</c:v>
                </c:pt>
                <c:pt idx="105">
                  <c:v>172.43027935824745</c:v>
                </c:pt>
                <c:pt idx="106">
                  <c:v>174.98533663393016</c:v>
                </c:pt>
                <c:pt idx="107">
                  <c:v>183.55726043317824</c:v>
                </c:pt>
                <c:pt idx="108">
                  <c:v>188.77707686607437</c:v>
                </c:pt>
                <c:pt idx="109">
                  <c:v>202.92957834575029</c:v>
                </c:pt>
                <c:pt idx="110">
                  <c:v>207.59910046442957</c:v>
                </c:pt>
                <c:pt idx="111">
                  <c:v>208.49060634104734</c:v>
                </c:pt>
                <c:pt idx="112">
                  <c:v>221.80755995581148</c:v>
                </c:pt>
                <c:pt idx="113">
                  <c:v>233.19639460013184</c:v>
                </c:pt>
                <c:pt idx="114">
                  <c:v>236.4430733658632</c:v>
                </c:pt>
                <c:pt idx="115">
                  <c:v>241.33571436540308</c:v>
                </c:pt>
                <c:pt idx="116">
                  <c:v>247.47123465037129</c:v>
                </c:pt>
                <c:pt idx="117">
                  <c:v>266.95201579680918</c:v>
                </c:pt>
                <c:pt idx="118">
                  <c:v>282.95413182674201</c:v>
                </c:pt>
                <c:pt idx="119">
                  <c:v>306.83587986164088</c:v>
                </c:pt>
                <c:pt idx="120">
                  <c:v>330.93732696433966</c:v>
                </c:pt>
                <c:pt idx="121">
                  <c:v>343.95995875264606</c:v>
                </c:pt>
                <c:pt idx="122">
                  <c:v>354.56185519282025</c:v>
                </c:pt>
                <c:pt idx="123">
                  <c:v>414.90536350423912</c:v>
                </c:pt>
                <c:pt idx="124">
                  <c:v>506.84490197195214</c:v>
                </c:pt>
                <c:pt idx="125">
                  <c:v>604.98384451998925</c:v>
                </c:pt>
                <c:pt idx="126">
                  <c:v>770.78962076772189</c:v>
                </c:pt>
                <c:pt idx="127">
                  <c:v>1062.7143055585168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86-4FB2-BD0A-7D637A7A71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737183"/>
        <c:axId val="52383183"/>
      </c:lineChart>
      <c:catAx>
        <c:axId val="146737183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Cenários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crossAx val="52383183"/>
        <c:crosses val="autoZero"/>
        <c:auto val="1"/>
        <c:lblAlgn val="ctr"/>
        <c:lblOffset val="100"/>
        <c:noMultiLvlLbl val="0"/>
      </c:catAx>
      <c:valAx>
        <c:axId val="52383183"/>
        <c:scaling>
          <c:orientation val="minMax"/>
          <c:max val="8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Ganho</a:t>
                </a:r>
                <a:r>
                  <a:rPr lang="en-US" baseline="0"/>
                  <a:t> Financeiro (k USD)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.##0_-;\-* #.##0_-;_-* &quot;-&quot;??_-;_-@_-" sourceLinked="0"/>
        <c:majorTickMark val="out"/>
        <c:minorTickMark val="none"/>
        <c:tickLblPos val="nextTo"/>
        <c:spPr>
          <a:noFill/>
          <a:ln>
            <a:solidFill>
              <a:schemeClr val="tx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37183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Q$1" max="30000" page="10" val="10"/>
</file>

<file path=xl/ctrlProps/ctrlProp2.xml><?xml version="1.0" encoding="utf-8"?>
<formControlPr xmlns="http://schemas.microsoft.com/office/spreadsheetml/2009/9/main" objectType="Spin" dx="26" fmlaLink="$Q$1" max="30000" page="10" val="10"/>
</file>

<file path=xl/ctrlProps/ctrlProp3.xml><?xml version="1.0" encoding="utf-8"?>
<formControlPr xmlns="http://schemas.microsoft.com/office/spreadsheetml/2009/9/main" objectType="Spin" dx="26" fmlaLink="$Q$1" max="30000" page="10" val="1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588928</xdr:colOff>
      <xdr:row>3</xdr:row>
      <xdr:rowOff>3451</xdr:rowOff>
    </xdr:from>
    <xdr:to>
      <xdr:col>20</xdr:col>
      <xdr:colOff>436655</xdr:colOff>
      <xdr:row>12</xdr:row>
      <xdr:rowOff>91961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152400</xdr:colOff>
          <xdr:row>0</xdr:row>
          <xdr:rowOff>30480</xdr:rowOff>
        </xdr:from>
        <xdr:to>
          <xdr:col>14</xdr:col>
          <xdr:colOff>266700</xdr:colOff>
          <xdr:row>2</xdr:row>
          <xdr:rowOff>106680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22530</xdr:colOff>
      <xdr:row>30</xdr:row>
      <xdr:rowOff>5372</xdr:rowOff>
    </xdr:from>
    <xdr:to>
      <xdr:col>11</xdr:col>
      <xdr:colOff>581327</xdr:colOff>
      <xdr:row>43</xdr:row>
      <xdr:rowOff>172204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600358</xdr:colOff>
      <xdr:row>3</xdr:row>
      <xdr:rowOff>3451</xdr:rowOff>
    </xdr:from>
    <xdr:to>
      <xdr:col>20</xdr:col>
      <xdr:colOff>436655</xdr:colOff>
      <xdr:row>12</xdr:row>
      <xdr:rowOff>40072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14</xdr:col>
          <xdr:colOff>182880</xdr:colOff>
          <xdr:row>2</xdr:row>
          <xdr:rowOff>137160</xdr:rowOff>
        </xdr:to>
        <xdr:sp macro="" textlink="">
          <xdr:nvSpPr>
            <xdr:cNvPr id="6145" name="Spinne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18720</xdr:colOff>
      <xdr:row>30</xdr:row>
      <xdr:rowOff>11087</xdr:rowOff>
    </xdr:from>
    <xdr:to>
      <xdr:col>12</xdr:col>
      <xdr:colOff>590852</xdr:colOff>
      <xdr:row>43</xdr:row>
      <xdr:rowOff>168394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22100</xdr:colOff>
      <xdr:row>3</xdr:row>
      <xdr:rowOff>20017</xdr:rowOff>
    </xdr:from>
    <xdr:to>
      <xdr:col>23</xdr:col>
      <xdr:colOff>604630</xdr:colOff>
      <xdr:row>18</xdr:row>
      <xdr:rowOff>16565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351680</xdr:colOff>
      <xdr:row>30</xdr:row>
      <xdr:rowOff>60628</xdr:rowOff>
    </xdr:from>
    <xdr:to>
      <xdr:col>17</xdr:col>
      <xdr:colOff>256760</xdr:colOff>
      <xdr:row>46</xdr:row>
      <xdr:rowOff>165652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14481</xdr:colOff>
      <xdr:row>3</xdr:row>
      <xdr:rowOff>20017</xdr:rowOff>
    </xdr:from>
    <xdr:to>
      <xdr:col>20</xdr:col>
      <xdr:colOff>217618</xdr:colOff>
      <xdr:row>12</xdr:row>
      <xdr:rowOff>99801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14481</xdr:colOff>
      <xdr:row>3</xdr:row>
      <xdr:rowOff>20017</xdr:rowOff>
    </xdr:from>
    <xdr:to>
      <xdr:col>20</xdr:col>
      <xdr:colOff>217618</xdr:colOff>
      <xdr:row>12</xdr:row>
      <xdr:rowOff>99801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604168</xdr:colOff>
      <xdr:row>3</xdr:row>
      <xdr:rowOff>3451</xdr:rowOff>
    </xdr:from>
    <xdr:to>
      <xdr:col>20</xdr:col>
      <xdr:colOff>444275</xdr:colOff>
      <xdr:row>12</xdr:row>
      <xdr:rowOff>88951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0</xdr:row>
          <xdr:rowOff>38100</xdr:rowOff>
        </xdr:from>
        <xdr:to>
          <xdr:col>14</xdr:col>
          <xdr:colOff>335280</xdr:colOff>
          <xdr:row>2</xdr:row>
          <xdr:rowOff>137160</xdr:rowOff>
        </xdr:to>
        <xdr:sp macro="" textlink="">
          <xdr:nvSpPr>
            <xdr:cNvPr id="7169" name="Spinner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18720</xdr:colOff>
      <xdr:row>30</xdr:row>
      <xdr:rowOff>11087</xdr:rowOff>
    </xdr:from>
    <xdr:to>
      <xdr:col>13</xdr:col>
      <xdr:colOff>590852</xdr:colOff>
      <xdr:row>43</xdr:row>
      <xdr:rowOff>168394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8</v>
    <v>1</v>
  </rv>
  <rv s="1">
    <v>0</v>
    <v>8</v>
    <v>23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6DADE-EE20-4776-872F-1EB27D48E4C6}">
  <sheetPr codeName="Sheet1"/>
  <dimension ref="A1:T158"/>
  <sheetViews>
    <sheetView topLeftCell="M1" zoomScale="139" zoomScaleNormal="81" workbookViewId="0">
      <selection activeCell="N2" sqref="N2:N25"/>
    </sheetView>
  </sheetViews>
  <sheetFormatPr defaultRowHeight="14.4" x14ac:dyDescent="0.3"/>
  <cols>
    <col min="2" max="2" width="11.33203125" bestFit="1" customWidth="1"/>
  </cols>
  <sheetData>
    <row r="1" spans="1:20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P1" t="s">
        <v>0</v>
      </c>
      <c r="Q1">
        <v>10</v>
      </c>
      <c r="T1" t="str">
        <f ca="1">_xlfn.CONCAT("Curva de oferta para lance de ",M2," USD/MWh")</f>
        <v>Curva de oferta para lance de 96 USD/MWh</v>
      </c>
    </row>
    <row r="2" spans="1:20" x14ac:dyDescent="0.3">
      <c r="A2">
        <v>0</v>
      </c>
      <c r="B2">
        <v>0</v>
      </c>
      <c r="C2">
        <v>0</v>
      </c>
      <c r="D2">
        <v>0</v>
      </c>
      <c r="E2">
        <v>0</v>
      </c>
      <c r="F2">
        <v>100</v>
      </c>
      <c r="G2">
        <v>100</v>
      </c>
      <c r="H2">
        <v>100</v>
      </c>
      <c r="I2">
        <v>100</v>
      </c>
      <c r="J2">
        <v>100</v>
      </c>
      <c r="K2" cm="1">
        <f t="array" aca="1" ref="K2:K25" ca="1">OFFSET(A2:A25,0,Q1-1)</f>
        <v>100</v>
      </c>
      <c r="M2">
        <f ca="1">K27</f>
        <v>96</v>
      </c>
      <c r="N2" s="3">
        <v>24.73342465753424</v>
      </c>
      <c r="Q2" t="s">
        <v>1</v>
      </c>
    </row>
    <row r="3" spans="1:20" x14ac:dyDescent="0.3">
      <c r="A3">
        <v>0</v>
      </c>
      <c r="B3">
        <v>0</v>
      </c>
      <c r="C3">
        <v>0</v>
      </c>
      <c r="D3">
        <v>0</v>
      </c>
      <c r="E3">
        <v>0</v>
      </c>
      <c r="F3">
        <v>100</v>
      </c>
      <c r="G3">
        <v>100</v>
      </c>
      <c r="H3">
        <v>100</v>
      </c>
      <c r="I3">
        <v>100</v>
      </c>
      <c r="J3">
        <v>100</v>
      </c>
      <c r="K3">
        <f ca="1"/>
        <v>100</v>
      </c>
      <c r="M3">
        <f ca="1">M2</f>
        <v>96</v>
      </c>
      <c r="N3" s="3">
        <v>22.984890109890117</v>
      </c>
    </row>
    <row r="4" spans="1:20" x14ac:dyDescent="0.3">
      <c r="A4">
        <v>0</v>
      </c>
      <c r="B4">
        <v>0</v>
      </c>
      <c r="C4">
        <v>0</v>
      </c>
      <c r="D4">
        <v>0</v>
      </c>
      <c r="E4">
        <v>100</v>
      </c>
      <c r="F4">
        <v>100</v>
      </c>
      <c r="G4">
        <v>100</v>
      </c>
      <c r="H4">
        <v>100</v>
      </c>
      <c r="I4">
        <v>100</v>
      </c>
      <c r="J4">
        <v>100</v>
      </c>
      <c r="K4">
        <f ca="1"/>
        <v>100</v>
      </c>
      <c r="M4">
        <f t="shared" ref="M4:M25" ca="1" si="0">M3</f>
        <v>96</v>
      </c>
      <c r="N4" s="3">
        <v>22.406027397260253</v>
      </c>
    </row>
    <row r="5" spans="1:20" x14ac:dyDescent="0.3">
      <c r="A5">
        <v>0</v>
      </c>
      <c r="B5">
        <v>0</v>
      </c>
      <c r="C5">
        <v>0</v>
      </c>
      <c r="D5">
        <v>0</v>
      </c>
      <c r="E5">
        <v>0</v>
      </c>
      <c r="F5">
        <v>100</v>
      </c>
      <c r="G5">
        <v>100</v>
      </c>
      <c r="H5">
        <v>100</v>
      </c>
      <c r="I5">
        <v>100</v>
      </c>
      <c r="J5">
        <v>100</v>
      </c>
      <c r="K5">
        <f ca="1"/>
        <v>100</v>
      </c>
      <c r="M5">
        <f t="shared" ca="1" si="0"/>
        <v>96</v>
      </c>
      <c r="N5" s="3">
        <v>22.927123287671225</v>
      </c>
    </row>
    <row r="6" spans="1:20" x14ac:dyDescent="0.3">
      <c r="A6">
        <v>0</v>
      </c>
      <c r="B6">
        <v>0</v>
      </c>
      <c r="C6">
        <v>0</v>
      </c>
      <c r="D6">
        <v>0</v>
      </c>
      <c r="E6">
        <v>0</v>
      </c>
      <c r="F6">
        <v>100</v>
      </c>
      <c r="G6">
        <v>100</v>
      </c>
      <c r="H6">
        <v>100</v>
      </c>
      <c r="I6">
        <v>100</v>
      </c>
      <c r="J6">
        <v>100</v>
      </c>
      <c r="K6">
        <f ca="1"/>
        <v>100</v>
      </c>
      <c r="M6">
        <f t="shared" ca="1" si="0"/>
        <v>96</v>
      </c>
      <c r="N6" s="3">
        <v>23.781095890410938</v>
      </c>
    </row>
    <row r="7" spans="1:20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100</v>
      </c>
      <c r="H7">
        <v>100</v>
      </c>
      <c r="I7">
        <v>100</v>
      </c>
      <c r="J7">
        <v>100</v>
      </c>
      <c r="K7">
        <f ca="1"/>
        <v>100</v>
      </c>
      <c r="M7">
        <f t="shared" ca="1" si="0"/>
        <v>96</v>
      </c>
      <c r="N7" s="3">
        <v>29.399178082191789</v>
      </c>
    </row>
    <row r="8" spans="1:20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100</v>
      </c>
      <c r="J8">
        <v>100</v>
      </c>
      <c r="K8">
        <f ca="1"/>
        <v>100</v>
      </c>
      <c r="M8">
        <f t="shared" ca="1" si="0"/>
        <v>96</v>
      </c>
      <c r="N8" s="3">
        <v>40.273698630136963</v>
      </c>
    </row>
    <row r="9" spans="1:20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100</v>
      </c>
      <c r="J9">
        <v>100</v>
      </c>
      <c r="K9">
        <f ca="1"/>
        <v>100</v>
      </c>
      <c r="M9">
        <f t="shared" ca="1" si="0"/>
        <v>96</v>
      </c>
      <c r="N9" s="3">
        <v>41.226575342465772</v>
      </c>
    </row>
    <row r="10" spans="1:20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100</v>
      </c>
      <c r="H10">
        <v>100</v>
      </c>
      <c r="I10">
        <v>100</v>
      </c>
      <c r="J10">
        <v>100</v>
      </c>
      <c r="K10">
        <f ca="1"/>
        <v>100</v>
      </c>
      <c r="M10">
        <f t="shared" ca="1" si="0"/>
        <v>96</v>
      </c>
      <c r="N10" s="3">
        <v>27.730410958904081</v>
      </c>
    </row>
    <row r="11" spans="1:20" x14ac:dyDescent="0.3">
      <c r="A11">
        <v>0</v>
      </c>
      <c r="B11">
        <v>0</v>
      </c>
      <c r="C11">
        <v>0</v>
      </c>
      <c r="D11">
        <v>0</v>
      </c>
      <c r="E11">
        <v>100</v>
      </c>
      <c r="F11">
        <v>100</v>
      </c>
      <c r="G11">
        <v>100</v>
      </c>
      <c r="H11">
        <v>100</v>
      </c>
      <c r="I11">
        <v>100</v>
      </c>
      <c r="J11">
        <v>100</v>
      </c>
      <c r="K11">
        <f ca="1"/>
        <v>100</v>
      </c>
      <c r="M11">
        <f t="shared" ca="1" si="0"/>
        <v>96</v>
      </c>
      <c r="N11" s="3">
        <v>22.380273972602751</v>
      </c>
    </row>
    <row r="12" spans="1:20" x14ac:dyDescent="0.3">
      <c r="A12">
        <v>0</v>
      </c>
      <c r="B12">
        <v>0</v>
      </c>
      <c r="C12">
        <v>0</v>
      </c>
      <c r="D12">
        <v>0</v>
      </c>
      <c r="E12">
        <v>100</v>
      </c>
      <c r="F12">
        <v>100</v>
      </c>
      <c r="G12">
        <v>100</v>
      </c>
      <c r="H12">
        <v>100</v>
      </c>
      <c r="I12">
        <v>100</v>
      </c>
      <c r="J12">
        <v>100</v>
      </c>
      <c r="K12">
        <f ca="1"/>
        <v>100</v>
      </c>
      <c r="M12">
        <f t="shared" ca="1" si="0"/>
        <v>96</v>
      </c>
      <c r="N12" s="3">
        <v>22.114520547945197</v>
      </c>
    </row>
    <row r="13" spans="1:20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100</v>
      </c>
      <c r="G13">
        <v>100</v>
      </c>
      <c r="H13">
        <v>100</v>
      </c>
      <c r="I13">
        <v>100</v>
      </c>
      <c r="J13">
        <v>100</v>
      </c>
      <c r="K13">
        <f ca="1"/>
        <v>100</v>
      </c>
      <c r="M13">
        <f t="shared" ca="1" si="0"/>
        <v>96</v>
      </c>
      <c r="N13" s="3">
        <v>23.516986301369855</v>
      </c>
    </row>
    <row r="14" spans="1:20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100</v>
      </c>
      <c r="G14">
        <v>100</v>
      </c>
      <c r="H14">
        <v>100</v>
      </c>
      <c r="I14">
        <v>100</v>
      </c>
      <c r="J14">
        <v>100</v>
      </c>
      <c r="K14">
        <f ca="1"/>
        <v>100</v>
      </c>
      <c r="M14">
        <f t="shared" ca="1" si="0"/>
        <v>96</v>
      </c>
      <c r="N14" s="3">
        <v>25.463013698630146</v>
      </c>
    </row>
    <row r="15" spans="1:20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100</v>
      </c>
      <c r="I15">
        <v>100</v>
      </c>
      <c r="J15">
        <v>100</v>
      </c>
      <c r="K15">
        <f ca="1"/>
        <v>100</v>
      </c>
      <c r="M15">
        <f t="shared" ca="1" si="0"/>
        <v>96</v>
      </c>
      <c r="N15" s="3">
        <v>33.870410958904074</v>
      </c>
    </row>
    <row r="16" spans="1:20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100</v>
      </c>
      <c r="K16">
        <f ca="1"/>
        <v>100</v>
      </c>
      <c r="M16">
        <f t="shared" ca="1" si="0"/>
        <v>96</v>
      </c>
      <c r="N16" s="3">
        <v>56.632054794520521</v>
      </c>
    </row>
    <row r="17" spans="1:14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100</v>
      </c>
      <c r="K17">
        <f ca="1"/>
        <v>100</v>
      </c>
      <c r="M17">
        <f t="shared" ca="1" si="0"/>
        <v>96</v>
      </c>
      <c r="N17" s="3">
        <v>89.707123287671195</v>
      </c>
    </row>
    <row r="18" spans="1:14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f ca="1"/>
        <v>0</v>
      </c>
      <c r="M18">
        <f t="shared" ca="1" si="0"/>
        <v>96</v>
      </c>
      <c r="N18" s="3">
        <v>127.8057534246576</v>
      </c>
    </row>
    <row r="19" spans="1:14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f ca="1"/>
        <v>0</v>
      </c>
      <c r="M19">
        <f t="shared" ca="1" si="0"/>
        <v>96</v>
      </c>
      <c r="N19" s="3">
        <v>112.04246575342459</v>
      </c>
    </row>
    <row r="20" spans="1:14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f ca="1"/>
        <v>0</v>
      </c>
      <c r="M20">
        <f t="shared" ca="1" si="0"/>
        <v>96</v>
      </c>
      <c r="N20" s="3">
        <v>142.42575342465781</v>
      </c>
    </row>
    <row r="21" spans="1:14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f ca="1"/>
        <v>0</v>
      </c>
      <c r="M21">
        <f t="shared" ca="1" si="0"/>
        <v>96</v>
      </c>
      <c r="N21" s="3">
        <v>229.60082191780819</v>
      </c>
    </row>
    <row r="22" spans="1:14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f ca="1"/>
        <v>0</v>
      </c>
      <c r="M22">
        <f t="shared" ca="1" si="0"/>
        <v>96</v>
      </c>
      <c r="N22" s="3">
        <v>120.10849315068492</v>
      </c>
    </row>
    <row r="23" spans="1:14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100</v>
      </c>
      <c r="I23">
        <v>100</v>
      </c>
      <c r="J23">
        <v>100</v>
      </c>
      <c r="K23">
        <f ca="1"/>
        <v>100</v>
      </c>
      <c r="M23">
        <f t="shared" ca="1" si="0"/>
        <v>96</v>
      </c>
      <c r="N23" s="3">
        <v>38.345753424657516</v>
      </c>
    </row>
    <row r="24" spans="1:14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100</v>
      </c>
      <c r="H24">
        <v>100</v>
      </c>
      <c r="I24">
        <v>100</v>
      </c>
      <c r="J24">
        <v>100</v>
      </c>
      <c r="K24">
        <f ca="1"/>
        <v>100</v>
      </c>
      <c r="M24">
        <f t="shared" ca="1" si="0"/>
        <v>96</v>
      </c>
      <c r="N24" s="3">
        <v>30.174246575342462</v>
      </c>
    </row>
    <row r="25" spans="1:14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100</v>
      </c>
      <c r="G25">
        <v>100</v>
      </c>
      <c r="H25">
        <v>100</v>
      </c>
      <c r="I25">
        <v>100</v>
      </c>
      <c r="J25">
        <v>100</v>
      </c>
      <c r="K25">
        <f ca="1"/>
        <v>100</v>
      </c>
      <c r="M25">
        <f t="shared" ca="1" si="0"/>
        <v>96</v>
      </c>
      <c r="N25" s="3">
        <v>25.041095890410951</v>
      </c>
    </row>
    <row r="27" spans="1:14" x14ac:dyDescent="0.3">
      <c r="A27">
        <v>0</v>
      </c>
      <c r="B27">
        <v>5.3</v>
      </c>
      <c r="C27">
        <v>15.3</v>
      </c>
      <c r="D27">
        <v>19.600000000000001</v>
      </c>
      <c r="E27">
        <v>22.7</v>
      </c>
      <c r="F27">
        <v>26.2</v>
      </c>
      <c r="G27">
        <v>31.8</v>
      </c>
      <c r="H27">
        <v>40.1</v>
      </c>
      <c r="I27">
        <v>53.2</v>
      </c>
      <c r="J27">
        <v>96</v>
      </c>
      <c r="K27">
        <f ca="1">OFFSET(A27,0,Q1-1)</f>
        <v>96</v>
      </c>
    </row>
    <row r="30" spans="1:14" x14ac:dyDescent="0.3">
      <c r="A30" s="4" t="s">
        <v>4</v>
      </c>
      <c r="B30" s="4" t="s">
        <v>3</v>
      </c>
    </row>
    <row r="31" spans="1:14" x14ac:dyDescent="0.3">
      <c r="A31" s="4">
        <v>1</v>
      </c>
      <c r="B31" s="5">
        <v>-58.12300045202786</v>
      </c>
      <c r="C31">
        <v>1</v>
      </c>
      <c r="D31">
        <f>1000</f>
        <v>1000</v>
      </c>
    </row>
    <row r="32" spans="1:14" x14ac:dyDescent="0.3">
      <c r="A32" s="4">
        <v>2</v>
      </c>
      <c r="B32" s="5">
        <v>-42.470988605225223</v>
      </c>
      <c r="C32">
        <v>1</v>
      </c>
    </row>
    <row r="33" spans="1:3" x14ac:dyDescent="0.3">
      <c r="A33" s="4">
        <v>3</v>
      </c>
      <c r="B33" s="5">
        <v>-19.20282270433454</v>
      </c>
      <c r="C33">
        <v>1</v>
      </c>
    </row>
    <row r="34" spans="1:3" x14ac:dyDescent="0.3">
      <c r="A34" s="4">
        <v>4</v>
      </c>
      <c r="B34" s="5">
        <v>-12.891704341435101</v>
      </c>
      <c r="C34">
        <v>1</v>
      </c>
    </row>
    <row r="35" spans="1:3" x14ac:dyDescent="0.3">
      <c r="A35" s="4">
        <v>5</v>
      </c>
      <c r="B35" s="5">
        <v>-11.670093175127757</v>
      </c>
      <c r="C35">
        <v>1</v>
      </c>
    </row>
    <row r="36" spans="1:3" x14ac:dyDescent="0.3">
      <c r="A36" s="4">
        <v>6</v>
      </c>
      <c r="B36" s="5">
        <v>-11.306733579409483</v>
      </c>
      <c r="C36">
        <v>1</v>
      </c>
    </row>
    <row r="37" spans="1:3" x14ac:dyDescent="0.3">
      <c r="A37" s="4">
        <v>7</v>
      </c>
      <c r="B37" s="5">
        <v>-3.4460998794796214</v>
      </c>
      <c r="C37">
        <v>1</v>
      </c>
    </row>
    <row r="38" spans="1:3" x14ac:dyDescent="0.3">
      <c r="A38" s="4">
        <v>8</v>
      </c>
      <c r="B38" s="5">
        <v>-3.2929751588113443</v>
      </c>
      <c r="C38">
        <v>1</v>
      </c>
    </row>
    <row r="39" spans="1:3" x14ac:dyDescent="0.3">
      <c r="A39" s="4">
        <v>9</v>
      </c>
      <c r="B39" s="5">
        <v>-2.4384136522345772</v>
      </c>
      <c r="C39">
        <v>1</v>
      </c>
    </row>
    <row r="40" spans="1:3" x14ac:dyDescent="0.3">
      <c r="A40" s="4">
        <v>10</v>
      </c>
      <c r="B40" s="5">
        <v>-2.3066221016785615</v>
      </c>
      <c r="C40">
        <v>1</v>
      </c>
    </row>
    <row r="41" spans="1:3" x14ac:dyDescent="0.3">
      <c r="A41" s="4">
        <v>11</v>
      </c>
      <c r="B41" s="5">
        <v>-1.9881037513978908</v>
      </c>
      <c r="C41">
        <v>1</v>
      </c>
    </row>
    <row r="42" spans="1:3" x14ac:dyDescent="0.3">
      <c r="A42" s="4">
        <v>12</v>
      </c>
      <c r="B42" s="5">
        <v>-0.10160393218531136</v>
      </c>
      <c r="C42">
        <v>1</v>
      </c>
    </row>
    <row r="43" spans="1:3" x14ac:dyDescent="0.3">
      <c r="A43" s="4">
        <v>13</v>
      </c>
      <c r="B43" s="5">
        <v>1.8050486729575796</v>
      </c>
      <c r="C43">
        <f t="shared" ref="C43:C62" si="1">MOD(A43,3)</f>
        <v>1</v>
      </c>
    </row>
    <row r="44" spans="1:3" x14ac:dyDescent="0.3">
      <c r="A44" s="4">
        <v>16</v>
      </c>
      <c r="B44" s="5">
        <v>2.4294063603223366</v>
      </c>
      <c r="C44">
        <f t="shared" si="1"/>
        <v>1</v>
      </c>
    </row>
    <row r="45" spans="1:3" x14ac:dyDescent="0.3">
      <c r="A45" s="4">
        <v>19</v>
      </c>
      <c r="B45" s="5">
        <v>5.0502892404216952</v>
      </c>
      <c r="C45">
        <f t="shared" si="1"/>
        <v>1</v>
      </c>
    </row>
    <row r="46" spans="1:3" x14ac:dyDescent="0.3">
      <c r="A46" s="4">
        <v>22</v>
      </c>
      <c r="B46" s="5">
        <v>7.7771145511483217</v>
      </c>
      <c r="C46">
        <f t="shared" si="1"/>
        <v>1</v>
      </c>
    </row>
    <row r="47" spans="1:3" x14ac:dyDescent="0.3">
      <c r="A47" s="4">
        <v>25</v>
      </c>
      <c r="B47" s="5">
        <v>8.2397599974789433</v>
      </c>
      <c r="C47">
        <f t="shared" si="1"/>
        <v>1</v>
      </c>
    </row>
    <row r="48" spans="1:3" x14ac:dyDescent="0.3">
      <c r="A48" s="4">
        <v>28</v>
      </c>
      <c r="B48" s="5">
        <v>9.9011180188295285</v>
      </c>
      <c r="C48">
        <f t="shared" si="1"/>
        <v>1</v>
      </c>
    </row>
    <row r="49" spans="1:3" x14ac:dyDescent="0.3">
      <c r="A49" s="4">
        <v>31</v>
      </c>
      <c r="B49" s="5">
        <v>11.038215485317817</v>
      </c>
      <c r="C49">
        <f t="shared" si="1"/>
        <v>1</v>
      </c>
    </row>
    <row r="50" spans="1:3" x14ac:dyDescent="0.3">
      <c r="A50" s="4">
        <v>34</v>
      </c>
      <c r="B50" s="5">
        <v>12.707404052716612</v>
      </c>
      <c r="C50">
        <f t="shared" si="1"/>
        <v>1</v>
      </c>
    </row>
    <row r="51" spans="1:3" x14ac:dyDescent="0.3">
      <c r="A51" s="4">
        <v>37</v>
      </c>
      <c r="B51" s="5">
        <v>13.156009318283848</v>
      </c>
      <c r="C51">
        <f t="shared" si="1"/>
        <v>1</v>
      </c>
    </row>
    <row r="52" spans="1:3" x14ac:dyDescent="0.3">
      <c r="A52" s="4">
        <v>40</v>
      </c>
      <c r="B52" s="5">
        <v>14.548890915259983</v>
      </c>
      <c r="C52">
        <f t="shared" si="1"/>
        <v>1</v>
      </c>
    </row>
    <row r="53" spans="1:3" x14ac:dyDescent="0.3">
      <c r="A53" s="4">
        <v>43</v>
      </c>
      <c r="B53" s="5">
        <v>16.507131070943878</v>
      </c>
      <c r="C53">
        <f t="shared" si="1"/>
        <v>1</v>
      </c>
    </row>
    <row r="54" spans="1:3" x14ac:dyDescent="0.3">
      <c r="A54" s="4">
        <v>46</v>
      </c>
      <c r="B54" s="5">
        <v>16.817849591941396</v>
      </c>
      <c r="C54">
        <f t="shared" si="1"/>
        <v>1</v>
      </c>
    </row>
    <row r="55" spans="1:3" x14ac:dyDescent="0.3">
      <c r="A55" s="4">
        <v>49</v>
      </c>
      <c r="B55" s="5">
        <v>18.243261652229606</v>
      </c>
      <c r="C55">
        <f t="shared" si="1"/>
        <v>1</v>
      </c>
    </row>
    <row r="56" spans="1:3" x14ac:dyDescent="0.3">
      <c r="A56" s="4">
        <v>52</v>
      </c>
      <c r="B56" s="5">
        <v>19.812600321363011</v>
      </c>
      <c r="C56">
        <f t="shared" si="1"/>
        <v>1</v>
      </c>
    </row>
    <row r="57" spans="1:3" x14ac:dyDescent="0.3">
      <c r="A57" s="4">
        <v>55</v>
      </c>
      <c r="B57" s="5">
        <v>21.865646804774464</v>
      </c>
      <c r="C57">
        <f t="shared" si="1"/>
        <v>1</v>
      </c>
    </row>
    <row r="58" spans="1:3" x14ac:dyDescent="0.3">
      <c r="A58" s="4">
        <v>58</v>
      </c>
      <c r="B58" s="5">
        <v>22.51873364973542</v>
      </c>
      <c r="C58">
        <f t="shared" si="1"/>
        <v>1</v>
      </c>
    </row>
    <row r="59" spans="1:3" x14ac:dyDescent="0.3">
      <c r="A59" s="4">
        <v>61</v>
      </c>
      <c r="B59" s="5">
        <v>23.55051752668399</v>
      </c>
      <c r="C59">
        <f t="shared" si="1"/>
        <v>1</v>
      </c>
    </row>
    <row r="60" spans="1:3" x14ac:dyDescent="0.3">
      <c r="A60" s="4">
        <v>64</v>
      </c>
      <c r="B60" s="5">
        <v>23.842790772127007</v>
      </c>
      <c r="C60">
        <f t="shared" si="1"/>
        <v>1</v>
      </c>
    </row>
    <row r="61" spans="1:3" x14ac:dyDescent="0.3">
      <c r="A61" s="4">
        <v>67</v>
      </c>
      <c r="B61" s="5">
        <v>24.916367043314583</v>
      </c>
      <c r="C61">
        <f t="shared" si="1"/>
        <v>1</v>
      </c>
    </row>
    <row r="62" spans="1:3" x14ac:dyDescent="0.3">
      <c r="A62" s="4">
        <v>70</v>
      </c>
      <c r="B62" s="5">
        <v>26.693083666041595</v>
      </c>
      <c r="C62">
        <f t="shared" si="1"/>
        <v>1</v>
      </c>
    </row>
    <row r="63" spans="1:3" x14ac:dyDescent="0.3">
      <c r="A63" s="4">
        <v>73</v>
      </c>
      <c r="B63" s="5">
        <v>27.0244652454464</v>
      </c>
      <c r="C63">
        <f t="shared" ref="C63:C83" si="2">MOD(A63,3)</f>
        <v>1</v>
      </c>
    </row>
    <row r="64" spans="1:3" x14ac:dyDescent="0.3">
      <c r="A64" s="4">
        <v>76</v>
      </c>
      <c r="B64" s="5">
        <v>27.239432045181996</v>
      </c>
      <c r="C64">
        <f t="shared" si="2"/>
        <v>1</v>
      </c>
    </row>
    <row r="65" spans="1:3" x14ac:dyDescent="0.3">
      <c r="A65" s="4">
        <v>79</v>
      </c>
      <c r="B65" s="5">
        <v>27.512329478986665</v>
      </c>
      <c r="C65">
        <f t="shared" si="2"/>
        <v>1</v>
      </c>
    </row>
    <row r="66" spans="1:3" x14ac:dyDescent="0.3">
      <c r="A66" s="4">
        <v>82</v>
      </c>
      <c r="B66" s="5">
        <v>28.093296052737326</v>
      </c>
      <c r="C66">
        <f t="shared" si="2"/>
        <v>1</v>
      </c>
    </row>
    <row r="67" spans="1:3" x14ac:dyDescent="0.3">
      <c r="A67" s="4">
        <v>85</v>
      </c>
      <c r="B67" s="5">
        <v>28.524398392944789</v>
      </c>
      <c r="C67">
        <f t="shared" si="2"/>
        <v>1</v>
      </c>
    </row>
    <row r="68" spans="1:3" x14ac:dyDescent="0.3">
      <c r="A68" s="4">
        <v>88</v>
      </c>
      <c r="B68" s="5">
        <v>29.096364640203912</v>
      </c>
      <c r="C68">
        <f t="shared" si="2"/>
        <v>1</v>
      </c>
    </row>
    <row r="69" spans="1:3" x14ac:dyDescent="0.3">
      <c r="A69" s="4">
        <v>91</v>
      </c>
      <c r="B69" s="5">
        <v>29.494673951049023</v>
      </c>
      <c r="C69">
        <f t="shared" si="2"/>
        <v>1</v>
      </c>
    </row>
    <row r="70" spans="1:3" x14ac:dyDescent="0.3">
      <c r="A70" s="4">
        <v>94</v>
      </c>
      <c r="B70" s="5">
        <v>29.908514927822974</v>
      </c>
      <c r="C70">
        <f t="shared" si="2"/>
        <v>1</v>
      </c>
    </row>
    <row r="71" spans="1:3" x14ac:dyDescent="0.3">
      <c r="A71" s="4">
        <v>97</v>
      </c>
      <c r="B71" s="5">
        <v>30.859231256809945</v>
      </c>
      <c r="C71">
        <f t="shared" si="2"/>
        <v>1</v>
      </c>
    </row>
    <row r="72" spans="1:3" x14ac:dyDescent="0.3">
      <c r="A72" s="4">
        <v>100</v>
      </c>
      <c r="B72" s="5">
        <v>31.539379964868999</v>
      </c>
      <c r="C72">
        <f t="shared" si="2"/>
        <v>1</v>
      </c>
    </row>
    <row r="73" spans="1:3" x14ac:dyDescent="0.3">
      <c r="A73" s="4">
        <v>103</v>
      </c>
      <c r="B73" s="5">
        <v>32.363883332029609</v>
      </c>
      <c r="C73">
        <f t="shared" si="2"/>
        <v>1</v>
      </c>
    </row>
    <row r="74" spans="1:3" x14ac:dyDescent="0.3">
      <c r="A74" s="4">
        <v>106</v>
      </c>
      <c r="B74" s="5">
        <v>34.110645358437203</v>
      </c>
      <c r="C74">
        <f t="shared" si="2"/>
        <v>1</v>
      </c>
    </row>
    <row r="75" spans="1:3" x14ac:dyDescent="0.3">
      <c r="A75" s="4">
        <v>109</v>
      </c>
      <c r="B75" s="5">
        <v>35.335725047084821</v>
      </c>
      <c r="C75">
        <f t="shared" si="2"/>
        <v>1</v>
      </c>
    </row>
    <row r="76" spans="1:3" x14ac:dyDescent="0.3">
      <c r="A76" s="4">
        <v>112</v>
      </c>
      <c r="B76" s="5">
        <v>35.886127296929793</v>
      </c>
      <c r="C76">
        <f t="shared" si="2"/>
        <v>1</v>
      </c>
    </row>
    <row r="77" spans="1:3" x14ac:dyDescent="0.3">
      <c r="A77" s="4">
        <v>115</v>
      </c>
      <c r="B77" s="5">
        <v>36.207092170737454</v>
      </c>
      <c r="C77">
        <f t="shared" si="2"/>
        <v>1</v>
      </c>
    </row>
    <row r="78" spans="1:3" x14ac:dyDescent="0.3">
      <c r="A78" s="4">
        <v>118</v>
      </c>
      <c r="B78" s="5">
        <v>36.423813217779355</v>
      </c>
      <c r="C78">
        <f t="shared" si="2"/>
        <v>1</v>
      </c>
    </row>
    <row r="79" spans="1:3" x14ac:dyDescent="0.3">
      <c r="A79" s="4">
        <v>121</v>
      </c>
      <c r="B79" s="5">
        <v>39.104760936575964</v>
      </c>
      <c r="C79">
        <f t="shared" si="2"/>
        <v>1</v>
      </c>
    </row>
    <row r="80" spans="1:3" x14ac:dyDescent="0.3">
      <c r="A80" s="4">
        <v>124</v>
      </c>
      <c r="B80" s="5">
        <v>40.051386400371229</v>
      </c>
      <c r="C80">
        <f t="shared" si="2"/>
        <v>1</v>
      </c>
    </row>
    <row r="81" spans="1:3" x14ac:dyDescent="0.3">
      <c r="A81" s="4">
        <v>127</v>
      </c>
      <c r="B81" s="5">
        <v>41.586399683660268</v>
      </c>
      <c r="C81">
        <f t="shared" si="2"/>
        <v>1</v>
      </c>
    </row>
    <row r="82" spans="1:3" x14ac:dyDescent="0.3">
      <c r="A82" s="4">
        <v>130</v>
      </c>
      <c r="B82" s="5">
        <v>42.463873993694612</v>
      </c>
      <c r="C82">
        <f t="shared" si="2"/>
        <v>1</v>
      </c>
    </row>
    <row r="83" spans="1:3" x14ac:dyDescent="0.3">
      <c r="A83" s="4">
        <v>133</v>
      </c>
      <c r="B83" s="5">
        <v>43.088131746381862</v>
      </c>
      <c r="C83">
        <f t="shared" si="2"/>
        <v>1</v>
      </c>
    </row>
    <row r="84" spans="1:3" x14ac:dyDescent="0.3">
      <c r="A84" s="4">
        <v>136</v>
      </c>
      <c r="B84" s="5">
        <v>44.442873079704647</v>
      </c>
      <c r="C84">
        <f t="shared" ref="C84:C104" si="3">MOD(A84,3)</f>
        <v>1</v>
      </c>
    </row>
    <row r="85" spans="1:3" x14ac:dyDescent="0.3">
      <c r="A85" s="4">
        <v>139</v>
      </c>
      <c r="B85" s="5">
        <v>44.888713807887989</v>
      </c>
      <c r="C85">
        <f t="shared" si="3"/>
        <v>1</v>
      </c>
    </row>
    <row r="86" spans="1:3" x14ac:dyDescent="0.3">
      <c r="A86" s="4">
        <v>142</v>
      </c>
      <c r="B86" s="5">
        <v>46.403904399227123</v>
      </c>
      <c r="C86">
        <f t="shared" si="3"/>
        <v>1</v>
      </c>
    </row>
    <row r="87" spans="1:3" x14ac:dyDescent="0.3">
      <c r="A87" s="4">
        <v>145</v>
      </c>
      <c r="B87" s="5">
        <v>47.284512703093327</v>
      </c>
      <c r="C87">
        <f t="shared" si="3"/>
        <v>1</v>
      </c>
    </row>
    <row r="88" spans="1:3" x14ac:dyDescent="0.3">
      <c r="A88" s="4">
        <v>148</v>
      </c>
      <c r="B88" s="5">
        <v>48.157646772114951</v>
      </c>
      <c r="C88">
        <f t="shared" si="3"/>
        <v>1</v>
      </c>
    </row>
    <row r="89" spans="1:3" x14ac:dyDescent="0.3">
      <c r="A89" s="4">
        <v>151</v>
      </c>
      <c r="B89" s="5">
        <v>49.307205820480085</v>
      </c>
      <c r="C89">
        <f t="shared" si="3"/>
        <v>1</v>
      </c>
    </row>
    <row r="90" spans="1:3" x14ac:dyDescent="0.3">
      <c r="A90" s="4">
        <v>154</v>
      </c>
      <c r="B90" s="5">
        <v>50.224316856250553</v>
      </c>
      <c r="C90">
        <f t="shared" si="3"/>
        <v>1</v>
      </c>
    </row>
    <row r="91" spans="1:3" x14ac:dyDescent="0.3">
      <c r="A91" s="4">
        <v>157</v>
      </c>
      <c r="B91" s="5">
        <v>50.430239444961131</v>
      </c>
      <c r="C91">
        <f t="shared" si="3"/>
        <v>1</v>
      </c>
    </row>
    <row r="92" spans="1:3" x14ac:dyDescent="0.3">
      <c r="A92" s="4">
        <v>160</v>
      </c>
      <c r="B92" s="5">
        <v>50.964811746369641</v>
      </c>
      <c r="C92">
        <f t="shared" si="3"/>
        <v>1</v>
      </c>
    </row>
    <row r="93" spans="1:3" x14ac:dyDescent="0.3">
      <c r="A93" s="4">
        <v>163</v>
      </c>
      <c r="B93" s="5">
        <v>51.399746352744479</v>
      </c>
      <c r="C93">
        <f t="shared" si="3"/>
        <v>1</v>
      </c>
    </row>
    <row r="94" spans="1:3" x14ac:dyDescent="0.3">
      <c r="A94" s="4">
        <v>166</v>
      </c>
      <c r="B94" s="5">
        <v>52.2572967255945</v>
      </c>
      <c r="C94">
        <f t="shared" si="3"/>
        <v>1</v>
      </c>
    </row>
    <row r="95" spans="1:3" x14ac:dyDescent="0.3">
      <c r="A95" s="4">
        <v>169</v>
      </c>
      <c r="B95" s="5">
        <v>53.879420552398351</v>
      </c>
      <c r="C95">
        <f t="shared" si="3"/>
        <v>1</v>
      </c>
    </row>
    <row r="96" spans="1:3" x14ac:dyDescent="0.3">
      <c r="A96" s="4">
        <v>172</v>
      </c>
      <c r="B96" s="5">
        <v>54.127266930262898</v>
      </c>
      <c r="C96">
        <f t="shared" si="3"/>
        <v>1</v>
      </c>
    </row>
    <row r="97" spans="1:3" x14ac:dyDescent="0.3">
      <c r="A97" s="4">
        <v>175</v>
      </c>
      <c r="B97" s="5">
        <v>54.916172248395398</v>
      </c>
      <c r="C97">
        <f t="shared" si="3"/>
        <v>1</v>
      </c>
    </row>
    <row r="98" spans="1:3" x14ac:dyDescent="0.3">
      <c r="A98" s="4">
        <v>178</v>
      </c>
      <c r="B98" s="5">
        <v>55.653505855564141</v>
      </c>
      <c r="C98">
        <f t="shared" si="3"/>
        <v>1</v>
      </c>
    </row>
    <row r="99" spans="1:3" x14ac:dyDescent="0.3">
      <c r="A99" s="4">
        <v>181</v>
      </c>
      <c r="B99" s="5">
        <v>56.419764818513066</v>
      </c>
      <c r="C99">
        <f t="shared" si="3"/>
        <v>1</v>
      </c>
    </row>
    <row r="100" spans="1:3" x14ac:dyDescent="0.3">
      <c r="A100" s="4">
        <v>184</v>
      </c>
      <c r="B100" s="5">
        <v>56.947272615221401</v>
      </c>
      <c r="C100">
        <f t="shared" si="3"/>
        <v>1</v>
      </c>
    </row>
    <row r="101" spans="1:3" x14ac:dyDescent="0.3">
      <c r="A101" s="4">
        <v>187</v>
      </c>
      <c r="B101" s="5">
        <v>57.146980354051898</v>
      </c>
      <c r="C101">
        <f t="shared" si="3"/>
        <v>1</v>
      </c>
    </row>
    <row r="102" spans="1:3" x14ac:dyDescent="0.3">
      <c r="A102" s="4">
        <v>190</v>
      </c>
      <c r="B102" s="5">
        <v>57.811373802848358</v>
      </c>
      <c r="C102">
        <f t="shared" si="3"/>
        <v>1</v>
      </c>
    </row>
    <row r="103" spans="1:3" x14ac:dyDescent="0.3">
      <c r="A103" s="4">
        <v>193</v>
      </c>
      <c r="B103" s="5">
        <v>58.334224821074272</v>
      </c>
      <c r="C103">
        <f t="shared" si="3"/>
        <v>1</v>
      </c>
    </row>
    <row r="104" spans="1:3" x14ac:dyDescent="0.3">
      <c r="A104" s="4">
        <v>196</v>
      </c>
      <c r="B104" s="5">
        <v>58.631891658603777</v>
      </c>
      <c r="C104">
        <f t="shared" si="3"/>
        <v>1</v>
      </c>
    </row>
    <row r="105" spans="1:3" x14ac:dyDescent="0.3">
      <c r="A105" s="4">
        <v>199</v>
      </c>
      <c r="B105" s="5">
        <v>59.608755440033818</v>
      </c>
      <c r="C105">
        <f t="shared" ref="C105:C126" si="4">MOD(A105,3)</f>
        <v>1</v>
      </c>
    </row>
    <row r="106" spans="1:3" x14ac:dyDescent="0.3">
      <c r="A106" s="4">
        <v>202</v>
      </c>
      <c r="B106" s="5">
        <v>59.920540027614457</v>
      </c>
      <c r="C106">
        <f t="shared" si="4"/>
        <v>1</v>
      </c>
    </row>
    <row r="107" spans="1:3" x14ac:dyDescent="0.3">
      <c r="A107" s="4">
        <v>205</v>
      </c>
      <c r="B107" s="5">
        <v>61.439672951681793</v>
      </c>
      <c r="C107">
        <f t="shared" si="4"/>
        <v>1</v>
      </c>
    </row>
    <row r="108" spans="1:3" x14ac:dyDescent="0.3">
      <c r="A108" s="4">
        <v>208</v>
      </c>
      <c r="B108" s="5">
        <v>63.066299789050156</v>
      </c>
      <c r="C108">
        <f t="shared" si="4"/>
        <v>1</v>
      </c>
    </row>
    <row r="109" spans="1:3" x14ac:dyDescent="0.3">
      <c r="A109" s="4">
        <v>211</v>
      </c>
      <c r="B109" s="5">
        <v>63.985932215978366</v>
      </c>
      <c r="C109">
        <f t="shared" si="4"/>
        <v>1</v>
      </c>
    </row>
    <row r="110" spans="1:3" x14ac:dyDescent="0.3">
      <c r="A110" s="4">
        <v>214</v>
      </c>
      <c r="B110" s="5">
        <v>65.304570694310669</v>
      </c>
      <c r="C110">
        <f t="shared" si="4"/>
        <v>1</v>
      </c>
    </row>
    <row r="111" spans="1:3" x14ac:dyDescent="0.3">
      <c r="A111" s="4">
        <v>217</v>
      </c>
      <c r="B111" s="5">
        <v>66.492638295290774</v>
      </c>
      <c r="C111">
        <f t="shared" si="4"/>
        <v>1</v>
      </c>
    </row>
    <row r="112" spans="1:3" x14ac:dyDescent="0.3">
      <c r="A112" s="4">
        <v>220</v>
      </c>
      <c r="B112" s="5">
        <v>67.007903748905761</v>
      </c>
      <c r="C112">
        <f t="shared" si="4"/>
        <v>1</v>
      </c>
    </row>
    <row r="113" spans="1:3" x14ac:dyDescent="0.3">
      <c r="A113" s="4">
        <v>223</v>
      </c>
      <c r="B113" s="5">
        <v>68.200248672942678</v>
      </c>
      <c r="C113">
        <f t="shared" si="4"/>
        <v>1</v>
      </c>
    </row>
    <row r="114" spans="1:3" x14ac:dyDescent="0.3">
      <c r="A114" s="4">
        <v>226</v>
      </c>
      <c r="B114" s="5">
        <v>69.4736295291939</v>
      </c>
      <c r="C114">
        <f t="shared" si="4"/>
        <v>1</v>
      </c>
    </row>
    <row r="115" spans="1:3" x14ac:dyDescent="0.3">
      <c r="A115" s="4">
        <v>229</v>
      </c>
      <c r="B115" s="5">
        <v>72.51592739484353</v>
      </c>
      <c r="C115">
        <f t="shared" si="4"/>
        <v>1</v>
      </c>
    </row>
    <row r="116" spans="1:3" x14ac:dyDescent="0.3">
      <c r="A116" s="4">
        <v>232</v>
      </c>
      <c r="B116" s="5">
        <v>75.313432760859513</v>
      </c>
      <c r="C116">
        <f t="shared" si="4"/>
        <v>1</v>
      </c>
    </row>
    <row r="117" spans="1:3" x14ac:dyDescent="0.3">
      <c r="A117" s="4">
        <v>235</v>
      </c>
      <c r="B117" s="5">
        <v>78.239269875699364</v>
      </c>
      <c r="C117">
        <f t="shared" si="4"/>
        <v>1</v>
      </c>
    </row>
    <row r="118" spans="1:3" x14ac:dyDescent="0.3">
      <c r="A118" s="4">
        <v>238</v>
      </c>
      <c r="B118" s="5">
        <v>79.645894794751115</v>
      </c>
      <c r="C118">
        <f t="shared" si="4"/>
        <v>1</v>
      </c>
    </row>
    <row r="119" spans="1:3" x14ac:dyDescent="0.3">
      <c r="A119" s="4">
        <v>241</v>
      </c>
      <c r="B119" s="5">
        <v>81.654331849412713</v>
      </c>
      <c r="C119">
        <f t="shared" si="4"/>
        <v>1</v>
      </c>
    </row>
    <row r="120" spans="1:3" x14ac:dyDescent="0.3">
      <c r="A120" s="4">
        <v>244</v>
      </c>
      <c r="B120" s="5">
        <v>82.380453747629403</v>
      </c>
      <c r="C120">
        <f t="shared" si="4"/>
        <v>1</v>
      </c>
    </row>
    <row r="121" spans="1:3" x14ac:dyDescent="0.3">
      <c r="A121" s="4">
        <v>247</v>
      </c>
      <c r="B121" s="5">
        <v>84.013576130513528</v>
      </c>
      <c r="C121">
        <f t="shared" si="4"/>
        <v>1</v>
      </c>
    </row>
    <row r="122" spans="1:3" x14ac:dyDescent="0.3">
      <c r="A122" s="4">
        <v>250</v>
      </c>
      <c r="B122" s="5">
        <v>86.472853170084903</v>
      </c>
      <c r="C122">
        <f t="shared" si="4"/>
        <v>1</v>
      </c>
    </row>
    <row r="123" spans="1:3" x14ac:dyDescent="0.3">
      <c r="A123" s="4">
        <v>253</v>
      </c>
      <c r="B123" s="5">
        <v>87.21768838923262</v>
      </c>
      <c r="C123">
        <f t="shared" si="4"/>
        <v>1</v>
      </c>
    </row>
    <row r="124" spans="1:3" x14ac:dyDescent="0.3">
      <c r="A124" s="4">
        <v>256</v>
      </c>
      <c r="B124" s="5">
        <v>88.147241034509435</v>
      </c>
      <c r="C124">
        <f t="shared" si="4"/>
        <v>1</v>
      </c>
    </row>
    <row r="125" spans="1:3" x14ac:dyDescent="0.3">
      <c r="A125" s="4">
        <v>259</v>
      </c>
      <c r="B125" s="5">
        <v>89.277669810483388</v>
      </c>
      <c r="C125">
        <f t="shared" si="4"/>
        <v>1</v>
      </c>
    </row>
    <row r="126" spans="1:3" x14ac:dyDescent="0.3">
      <c r="A126" s="4">
        <v>262</v>
      </c>
      <c r="B126" s="5">
        <v>89.996669755202632</v>
      </c>
      <c r="C126">
        <f t="shared" si="4"/>
        <v>1</v>
      </c>
    </row>
    <row r="127" spans="1:3" x14ac:dyDescent="0.3">
      <c r="A127" s="4">
        <v>265</v>
      </c>
      <c r="B127" s="5">
        <v>90.398871008137618</v>
      </c>
      <c r="C127">
        <f t="shared" ref="C127:C147" si="5">MOD(A127,3)</f>
        <v>1</v>
      </c>
    </row>
    <row r="128" spans="1:3" x14ac:dyDescent="0.3">
      <c r="A128" s="4">
        <v>268</v>
      </c>
      <c r="B128" s="5">
        <v>91.901524574884903</v>
      </c>
      <c r="C128">
        <f t="shared" si="5"/>
        <v>1</v>
      </c>
    </row>
    <row r="129" spans="1:3" x14ac:dyDescent="0.3">
      <c r="A129" s="4">
        <v>271</v>
      </c>
      <c r="B129" s="5">
        <v>92.964963188937105</v>
      </c>
      <c r="C129">
        <f t="shared" si="5"/>
        <v>1</v>
      </c>
    </row>
    <row r="130" spans="1:3" x14ac:dyDescent="0.3">
      <c r="A130" s="4">
        <v>274</v>
      </c>
      <c r="B130" s="5">
        <v>94.772104361644026</v>
      </c>
      <c r="C130">
        <f t="shared" si="5"/>
        <v>1</v>
      </c>
    </row>
    <row r="131" spans="1:3" x14ac:dyDescent="0.3">
      <c r="A131" s="4">
        <v>277</v>
      </c>
      <c r="B131" s="5">
        <v>97.724614392976193</v>
      </c>
      <c r="C131">
        <f t="shared" si="5"/>
        <v>1</v>
      </c>
    </row>
    <row r="132" spans="1:3" x14ac:dyDescent="0.3">
      <c r="A132" s="4">
        <v>280</v>
      </c>
      <c r="B132" s="5">
        <v>102.89101825990336</v>
      </c>
      <c r="C132">
        <f t="shared" si="5"/>
        <v>1</v>
      </c>
    </row>
    <row r="133" spans="1:3" x14ac:dyDescent="0.3">
      <c r="A133" s="4">
        <v>283</v>
      </c>
      <c r="B133" s="5">
        <v>105.26812377650516</v>
      </c>
      <c r="C133">
        <f t="shared" si="5"/>
        <v>1</v>
      </c>
    </row>
    <row r="134" spans="1:3" x14ac:dyDescent="0.3">
      <c r="A134" s="4">
        <v>286</v>
      </c>
      <c r="B134" s="5">
        <v>109.39136067793395</v>
      </c>
      <c r="C134">
        <f t="shared" si="5"/>
        <v>1</v>
      </c>
    </row>
    <row r="135" spans="1:3" x14ac:dyDescent="0.3">
      <c r="A135" s="4">
        <v>289</v>
      </c>
      <c r="B135" s="5">
        <v>112.9414639346824</v>
      </c>
      <c r="C135">
        <f t="shared" si="5"/>
        <v>1</v>
      </c>
    </row>
    <row r="136" spans="1:3" x14ac:dyDescent="0.3">
      <c r="A136" s="4">
        <v>292</v>
      </c>
      <c r="B136" s="5">
        <v>115.08531489017425</v>
      </c>
      <c r="C136">
        <f t="shared" si="5"/>
        <v>1</v>
      </c>
    </row>
    <row r="137" spans="1:3" x14ac:dyDescent="0.3">
      <c r="A137" s="4">
        <v>295</v>
      </c>
      <c r="B137" s="5">
        <v>117.09773482473679</v>
      </c>
      <c r="C137">
        <f t="shared" si="5"/>
        <v>1</v>
      </c>
    </row>
    <row r="138" spans="1:3" x14ac:dyDescent="0.3">
      <c r="A138" s="4">
        <v>298</v>
      </c>
      <c r="B138" s="5">
        <v>119.19755535711894</v>
      </c>
      <c r="C138">
        <f t="shared" si="5"/>
        <v>1</v>
      </c>
    </row>
    <row r="139" spans="1:3" x14ac:dyDescent="0.3">
      <c r="A139" s="4">
        <v>301</v>
      </c>
      <c r="B139" s="5">
        <v>121.63052724167673</v>
      </c>
      <c r="C139">
        <f t="shared" si="5"/>
        <v>1</v>
      </c>
    </row>
    <row r="140" spans="1:3" x14ac:dyDescent="0.3">
      <c r="A140" s="4">
        <v>304</v>
      </c>
      <c r="B140" s="5">
        <v>123.20998847962956</v>
      </c>
      <c r="C140">
        <f t="shared" si="5"/>
        <v>1</v>
      </c>
    </row>
    <row r="141" spans="1:3" x14ac:dyDescent="0.3">
      <c r="A141" s="4">
        <v>307</v>
      </c>
      <c r="B141" s="5">
        <v>126.37950048465289</v>
      </c>
      <c r="C141">
        <f t="shared" si="5"/>
        <v>1</v>
      </c>
    </row>
    <row r="142" spans="1:3" x14ac:dyDescent="0.3">
      <c r="A142" s="4">
        <v>310</v>
      </c>
      <c r="B142" s="5">
        <v>135.09797410169963</v>
      </c>
      <c r="C142">
        <f t="shared" si="5"/>
        <v>1</v>
      </c>
    </row>
    <row r="143" spans="1:3" x14ac:dyDescent="0.3">
      <c r="A143" s="4">
        <v>313</v>
      </c>
      <c r="B143" s="5">
        <v>149.16714827370103</v>
      </c>
      <c r="C143">
        <f t="shared" si="5"/>
        <v>1</v>
      </c>
    </row>
    <row r="144" spans="1:3" x14ac:dyDescent="0.3">
      <c r="A144" s="4">
        <v>316</v>
      </c>
      <c r="B144" s="5">
        <v>153.77462884372466</v>
      </c>
      <c r="C144">
        <f t="shared" si="5"/>
        <v>1</v>
      </c>
    </row>
    <row r="145" spans="1:3" x14ac:dyDescent="0.3">
      <c r="A145" s="4">
        <v>319</v>
      </c>
      <c r="B145" s="5">
        <v>160.5808526955521</v>
      </c>
      <c r="C145">
        <f t="shared" si="5"/>
        <v>1</v>
      </c>
    </row>
    <row r="146" spans="1:3" x14ac:dyDescent="0.3">
      <c r="A146" s="4">
        <v>322</v>
      </c>
      <c r="B146" s="5">
        <v>164.52962333961437</v>
      </c>
      <c r="C146">
        <f t="shared" si="5"/>
        <v>1</v>
      </c>
    </row>
    <row r="147" spans="1:3" x14ac:dyDescent="0.3">
      <c r="A147" s="4">
        <v>325</v>
      </c>
      <c r="B147" s="5">
        <v>178.07568556318088</v>
      </c>
      <c r="C147">
        <f t="shared" si="5"/>
        <v>1</v>
      </c>
    </row>
    <row r="148" spans="1:3" x14ac:dyDescent="0.3">
      <c r="A148" s="4">
        <v>328</v>
      </c>
      <c r="B148" s="5">
        <v>191.84138580543609</v>
      </c>
      <c r="C148">
        <f t="shared" ref="C148:C158" si="6">MOD(A148,3)</f>
        <v>1</v>
      </c>
    </row>
    <row r="149" spans="1:3" x14ac:dyDescent="0.3">
      <c r="A149" s="4">
        <v>331</v>
      </c>
      <c r="B149" s="5">
        <v>215.21483561333295</v>
      </c>
      <c r="C149">
        <f t="shared" si="6"/>
        <v>1</v>
      </c>
    </row>
    <row r="150" spans="1:3" x14ac:dyDescent="0.3">
      <c r="A150" s="4">
        <v>334</v>
      </c>
      <c r="B150" s="5">
        <v>227.10344966185824</v>
      </c>
      <c r="C150">
        <f t="shared" si="6"/>
        <v>1</v>
      </c>
    </row>
    <row r="151" spans="1:3" x14ac:dyDescent="0.3">
      <c r="A151" s="4">
        <v>337</v>
      </c>
      <c r="B151" s="5">
        <v>260.01485843979282</v>
      </c>
      <c r="C151">
        <f t="shared" si="6"/>
        <v>1</v>
      </c>
    </row>
    <row r="152" spans="1:3" x14ac:dyDescent="0.3">
      <c r="A152" s="4">
        <v>340</v>
      </c>
      <c r="B152" s="5">
        <v>292.28192551159242</v>
      </c>
      <c r="C152">
        <f t="shared" si="6"/>
        <v>1</v>
      </c>
    </row>
    <row r="153" spans="1:3" x14ac:dyDescent="0.3">
      <c r="A153" s="4">
        <v>343</v>
      </c>
      <c r="B153" s="5">
        <v>330.6188479509126</v>
      </c>
      <c r="C153">
        <f t="shared" si="6"/>
        <v>1</v>
      </c>
    </row>
    <row r="154" spans="1:3" x14ac:dyDescent="0.3">
      <c r="A154" s="4">
        <v>346</v>
      </c>
      <c r="B154" s="5">
        <v>344.11843907045068</v>
      </c>
      <c r="C154">
        <f t="shared" si="6"/>
        <v>1</v>
      </c>
    </row>
    <row r="155" spans="1:3" x14ac:dyDescent="0.3">
      <c r="A155" s="4">
        <v>349</v>
      </c>
      <c r="B155" s="5">
        <v>354.94151750608268</v>
      </c>
      <c r="C155">
        <f t="shared" si="6"/>
        <v>1</v>
      </c>
    </row>
    <row r="156" spans="1:3" x14ac:dyDescent="0.3">
      <c r="A156" s="4">
        <v>352</v>
      </c>
      <c r="B156" s="5">
        <v>427.69785106860121</v>
      </c>
      <c r="C156">
        <f t="shared" si="6"/>
        <v>1</v>
      </c>
    </row>
    <row r="157" spans="1:3" x14ac:dyDescent="0.3">
      <c r="A157" s="4">
        <v>355</v>
      </c>
      <c r="B157" s="5">
        <v>484.65879645203722</v>
      </c>
      <c r="C157">
        <f t="shared" si="6"/>
        <v>1</v>
      </c>
    </row>
    <row r="158" spans="1:3" x14ac:dyDescent="0.3">
      <c r="A158" s="4">
        <v>358</v>
      </c>
      <c r="B158" s="5">
        <v>741.39498838162729</v>
      </c>
      <c r="C158">
        <f t="shared" si="6"/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>
                <anchor moveWithCells="1" sizeWithCells="1">
                  <from>
                    <xdr:col>14</xdr:col>
                    <xdr:colOff>152400</xdr:colOff>
                    <xdr:row>0</xdr:row>
                    <xdr:rowOff>30480</xdr:rowOff>
                  </from>
                  <to>
                    <xdr:col>14</xdr:col>
                    <xdr:colOff>266700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84226-AB17-4FEC-AAA6-310FA678D22A}">
  <sheetPr codeName="Sheet5"/>
  <dimension ref="A1:T158"/>
  <sheetViews>
    <sheetView topLeftCell="L1" zoomScale="145" zoomScaleNormal="145" workbookViewId="0">
      <selection activeCell="O12" sqref="O12"/>
    </sheetView>
  </sheetViews>
  <sheetFormatPr defaultRowHeight="14.4" x14ac:dyDescent="0.3"/>
  <cols>
    <col min="2" max="2" width="11.33203125" bestFit="1" customWidth="1"/>
  </cols>
  <sheetData>
    <row r="1" spans="1:20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P1" t="s">
        <v>0</v>
      </c>
      <c r="Q1">
        <v>10</v>
      </c>
      <c r="T1" t="str">
        <f ca="1">_xlfn.CONCAT("Curva de oferta para lance de ",M2," USD/MWh")</f>
        <v>Curva de oferta para lance de 96 USD/MWh</v>
      </c>
    </row>
    <row r="2" spans="1:20" x14ac:dyDescent="0.3">
      <c r="A2">
        <v>0</v>
      </c>
      <c r="B2">
        <v>0</v>
      </c>
      <c r="C2">
        <v>2.4313802140801415</v>
      </c>
      <c r="D2">
        <v>4.9522238503762068</v>
      </c>
      <c r="E2">
        <v>6.0680172343566863</v>
      </c>
      <c r="F2">
        <v>9.7365914082044522</v>
      </c>
      <c r="G2">
        <v>23.766361992131429</v>
      </c>
      <c r="H2">
        <v>80.37314754057094</v>
      </c>
      <c r="I2">
        <v>100</v>
      </c>
      <c r="J2">
        <v>100</v>
      </c>
      <c r="K2" cm="1">
        <f t="array" aca="1" ref="K2:K25" ca="1">OFFSET(A2:A25,0,Q1-1)</f>
        <v>100</v>
      </c>
      <c r="M2">
        <f ca="1">K27</f>
        <v>96</v>
      </c>
      <c r="N2" s="3">
        <v>24.73342465753424</v>
      </c>
      <c r="Q2" t="s">
        <v>1</v>
      </c>
    </row>
    <row r="3" spans="1:20" x14ac:dyDescent="0.3">
      <c r="A3">
        <v>0</v>
      </c>
      <c r="B3">
        <v>0</v>
      </c>
      <c r="C3">
        <v>4.1182254131999692</v>
      </c>
      <c r="D3">
        <v>6.5165065400781295</v>
      </c>
      <c r="E3">
        <v>8.3232864187319073</v>
      </c>
      <c r="F3">
        <v>18.89510761022002</v>
      </c>
      <c r="G3">
        <v>24.444133882633565</v>
      </c>
      <c r="H3">
        <v>100</v>
      </c>
      <c r="I3">
        <v>100</v>
      </c>
      <c r="J3">
        <v>100</v>
      </c>
      <c r="K3">
        <f ca="1"/>
        <v>100</v>
      </c>
      <c r="M3">
        <f ca="1">M2</f>
        <v>96</v>
      </c>
      <c r="N3" s="3">
        <v>22.984890109890117</v>
      </c>
    </row>
    <row r="4" spans="1:20" x14ac:dyDescent="0.3">
      <c r="A4">
        <v>0</v>
      </c>
      <c r="B4">
        <v>0</v>
      </c>
      <c r="C4">
        <v>4.8516114656858402</v>
      </c>
      <c r="D4">
        <v>8.9001353509449252</v>
      </c>
      <c r="E4">
        <v>10.376371119791305</v>
      </c>
      <c r="F4">
        <v>17.207036577649909</v>
      </c>
      <c r="G4">
        <v>26.094540220983987</v>
      </c>
      <c r="H4">
        <v>100</v>
      </c>
      <c r="I4">
        <v>100</v>
      </c>
      <c r="J4">
        <v>100</v>
      </c>
      <c r="K4">
        <f ca="1"/>
        <v>100</v>
      </c>
      <c r="M4">
        <f t="shared" ref="M4:M25" ca="1" si="0">M3</f>
        <v>96</v>
      </c>
      <c r="N4" s="3">
        <v>22.406027397260253</v>
      </c>
    </row>
    <row r="5" spans="1:20" x14ac:dyDescent="0.3">
      <c r="A5">
        <v>0</v>
      </c>
      <c r="B5">
        <v>0</v>
      </c>
      <c r="C5">
        <v>3.9895772113532431</v>
      </c>
      <c r="D5">
        <v>8.8219288934771516</v>
      </c>
      <c r="E5">
        <v>11.153817670618807</v>
      </c>
      <c r="F5">
        <v>13.247509891393211</v>
      </c>
      <c r="G5">
        <v>19.426125506032861</v>
      </c>
      <c r="H5">
        <v>100</v>
      </c>
      <c r="I5">
        <v>100</v>
      </c>
      <c r="J5">
        <v>100</v>
      </c>
      <c r="K5">
        <f ca="1"/>
        <v>100</v>
      </c>
      <c r="M5">
        <f t="shared" ca="1" si="0"/>
        <v>96</v>
      </c>
      <c r="N5" s="3">
        <v>22.927123287671225</v>
      </c>
    </row>
    <row r="6" spans="1:20" x14ac:dyDescent="0.3">
      <c r="A6">
        <v>0</v>
      </c>
      <c r="B6">
        <v>0</v>
      </c>
      <c r="C6">
        <v>2.2080057394145816</v>
      </c>
      <c r="D6">
        <v>5.600300601607529</v>
      </c>
      <c r="E6">
        <v>7.3564830002227497</v>
      </c>
      <c r="F6">
        <v>9.3304921331161168</v>
      </c>
      <c r="G6">
        <v>17.059244777296019</v>
      </c>
      <c r="H6">
        <v>60.260653455528669</v>
      </c>
      <c r="I6">
        <v>100</v>
      </c>
      <c r="J6">
        <v>100</v>
      </c>
      <c r="K6">
        <f ca="1"/>
        <v>100</v>
      </c>
      <c r="M6">
        <f t="shared" ca="1" si="0"/>
        <v>96</v>
      </c>
      <c r="N6" s="3">
        <v>23.781095890410938</v>
      </c>
    </row>
    <row r="7" spans="1:20" x14ac:dyDescent="0.3">
      <c r="A7">
        <v>0</v>
      </c>
      <c r="B7">
        <v>0</v>
      </c>
      <c r="C7">
        <v>0</v>
      </c>
      <c r="D7">
        <v>0</v>
      </c>
      <c r="E7">
        <v>1.8661280198736403</v>
      </c>
      <c r="F7">
        <v>3.9603075672009602</v>
      </c>
      <c r="G7">
        <v>8.6020178224196151</v>
      </c>
      <c r="H7">
        <v>19.525118472779205</v>
      </c>
      <c r="I7">
        <v>61.427239094785634</v>
      </c>
      <c r="J7">
        <v>100</v>
      </c>
      <c r="K7">
        <f ca="1"/>
        <v>100</v>
      </c>
      <c r="M7">
        <f t="shared" ca="1" si="0"/>
        <v>96</v>
      </c>
      <c r="N7" s="3">
        <v>29.399178082191789</v>
      </c>
    </row>
    <row r="8" spans="1:20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5.8973594513672243</v>
      </c>
      <c r="I8">
        <v>54.959764531666558</v>
      </c>
      <c r="J8">
        <v>54.983598882759402</v>
      </c>
      <c r="K8">
        <f ca="1"/>
        <v>54.983598882759402</v>
      </c>
      <c r="M8">
        <f t="shared" ca="1" si="0"/>
        <v>96</v>
      </c>
      <c r="N8" s="3">
        <v>40.273698630136963</v>
      </c>
    </row>
    <row r="9" spans="1:20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1.9569960109813656</v>
      </c>
      <c r="I9">
        <v>22.658382835888606</v>
      </c>
      <c r="J9">
        <v>69.299220135985365</v>
      </c>
      <c r="K9">
        <f ca="1"/>
        <v>69.299220135985365</v>
      </c>
      <c r="M9">
        <f t="shared" ca="1" si="0"/>
        <v>96</v>
      </c>
      <c r="N9" s="3">
        <v>41.226575342465772</v>
      </c>
    </row>
    <row r="10" spans="1:20" x14ac:dyDescent="0.3">
      <c r="A10">
        <v>0</v>
      </c>
      <c r="B10">
        <v>0</v>
      </c>
      <c r="C10">
        <v>0</v>
      </c>
      <c r="D10">
        <v>9.3985051851660145E-2</v>
      </c>
      <c r="E10">
        <v>2.2160440561890091</v>
      </c>
      <c r="F10">
        <v>5.0295205877728968</v>
      </c>
      <c r="G10">
        <v>11.745045751633986</v>
      </c>
      <c r="H10">
        <v>41.985143160099121</v>
      </c>
      <c r="I10">
        <v>66.281011611142716</v>
      </c>
      <c r="J10">
        <v>100</v>
      </c>
      <c r="K10">
        <f ca="1"/>
        <v>100</v>
      </c>
      <c r="M10">
        <f t="shared" ca="1" si="0"/>
        <v>96</v>
      </c>
      <c r="N10" s="3">
        <v>27.730410958904081</v>
      </c>
    </row>
    <row r="11" spans="1:20" x14ac:dyDescent="0.3">
      <c r="A11">
        <v>0</v>
      </c>
      <c r="B11">
        <v>0</v>
      </c>
      <c r="C11">
        <v>1.5193411058878779</v>
      </c>
      <c r="D11">
        <v>3.6553289961821607</v>
      </c>
      <c r="E11">
        <v>8.4494266847839032</v>
      </c>
      <c r="F11">
        <v>9.5048221384231013</v>
      </c>
      <c r="G11">
        <v>21.035066799601189</v>
      </c>
      <c r="H11">
        <v>100</v>
      </c>
      <c r="I11">
        <v>100</v>
      </c>
      <c r="J11">
        <v>100</v>
      </c>
      <c r="K11">
        <f ca="1"/>
        <v>100</v>
      </c>
      <c r="M11">
        <f t="shared" ca="1" si="0"/>
        <v>96</v>
      </c>
      <c r="N11" s="3">
        <v>22.380273972602751</v>
      </c>
    </row>
    <row r="12" spans="1:20" x14ac:dyDescent="0.3">
      <c r="A12">
        <v>0</v>
      </c>
      <c r="B12">
        <v>0</v>
      </c>
      <c r="C12">
        <v>2.1880002092487967</v>
      </c>
      <c r="D12">
        <v>4.0645840257006762</v>
      </c>
      <c r="E12">
        <v>4.5844966690001758</v>
      </c>
      <c r="F12">
        <v>6.2709803702273375</v>
      </c>
      <c r="G12">
        <v>14.834133311988188</v>
      </c>
      <c r="H12">
        <v>100</v>
      </c>
      <c r="I12">
        <v>100</v>
      </c>
      <c r="J12">
        <v>100</v>
      </c>
      <c r="K12">
        <f ca="1"/>
        <v>100</v>
      </c>
      <c r="M12">
        <f t="shared" ca="1" si="0"/>
        <v>96</v>
      </c>
      <c r="N12" s="3">
        <v>22.114520547945197</v>
      </c>
    </row>
    <row r="13" spans="1:20" x14ac:dyDescent="0.3">
      <c r="A13">
        <v>0</v>
      </c>
      <c r="B13">
        <v>0</v>
      </c>
      <c r="C13">
        <v>2.9459484677281287</v>
      </c>
      <c r="D13">
        <v>4.2289849486853823</v>
      </c>
      <c r="E13">
        <v>6.1969213836698458</v>
      </c>
      <c r="F13">
        <v>7.414692765981278</v>
      </c>
      <c r="G13">
        <v>12.685155297901773</v>
      </c>
      <c r="H13">
        <v>100</v>
      </c>
      <c r="I13">
        <v>100</v>
      </c>
      <c r="J13">
        <v>100</v>
      </c>
      <c r="K13">
        <f ca="1"/>
        <v>100</v>
      </c>
      <c r="M13">
        <f t="shared" ca="1" si="0"/>
        <v>96</v>
      </c>
      <c r="N13" s="3">
        <v>23.516986301369855</v>
      </c>
    </row>
    <row r="14" spans="1:20" x14ac:dyDescent="0.3">
      <c r="A14">
        <v>0</v>
      </c>
      <c r="B14">
        <v>0</v>
      </c>
      <c r="C14">
        <v>0</v>
      </c>
      <c r="D14">
        <v>5.3819667111164371</v>
      </c>
      <c r="E14">
        <v>5.7895038530065523</v>
      </c>
      <c r="F14">
        <v>8.4091195186416403</v>
      </c>
      <c r="G14">
        <v>10.831990801114552</v>
      </c>
      <c r="H14">
        <v>55.125981225877744</v>
      </c>
      <c r="I14">
        <v>100</v>
      </c>
      <c r="J14">
        <v>100</v>
      </c>
      <c r="K14">
        <f ca="1"/>
        <v>100</v>
      </c>
      <c r="M14">
        <f t="shared" ca="1" si="0"/>
        <v>96</v>
      </c>
      <c r="N14" s="3">
        <v>25.463013698630146</v>
      </c>
    </row>
    <row r="15" spans="1:20" x14ac:dyDescent="0.3">
      <c r="A15">
        <v>0</v>
      </c>
      <c r="B15">
        <v>0</v>
      </c>
      <c r="C15">
        <v>0</v>
      </c>
      <c r="D15">
        <v>0</v>
      </c>
      <c r="E15">
        <v>1.2049055903386119</v>
      </c>
      <c r="F15">
        <v>1.2207829128385583</v>
      </c>
      <c r="G15">
        <v>1.5046007630533722</v>
      </c>
      <c r="H15">
        <v>3.0147719802359005</v>
      </c>
      <c r="I15">
        <v>9.2090548970120203</v>
      </c>
      <c r="J15">
        <v>100</v>
      </c>
      <c r="K15">
        <f ca="1"/>
        <v>100</v>
      </c>
      <c r="M15">
        <f t="shared" ca="1" si="0"/>
        <v>96</v>
      </c>
      <c r="N15" s="3">
        <v>33.870410958904074</v>
      </c>
    </row>
    <row r="16" spans="1:20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2.7724642191203928</v>
      </c>
      <c r="I16">
        <v>4.6002895053078268</v>
      </c>
      <c r="J16">
        <v>6.1130194705613849</v>
      </c>
      <c r="K16">
        <f ca="1"/>
        <v>6.1130194705613849</v>
      </c>
      <c r="M16">
        <f t="shared" ca="1" si="0"/>
        <v>96</v>
      </c>
      <c r="N16" s="3">
        <v>56.632054794520521</v>
      </c>
    </row>
    <row r="17" spans="1:14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5.6319092144995233</v>
      </c>
      <c r="K17">
        <f ca="1"/>
        <v>5.6319092144995233</v>
      </c>
      <c r="M17">
        <f t="shared" ca="1" si="0"/>
        <v>96</v>
      </c>
      <c r="N17" s="3">
        <v>89.707123287671195</v>
      </c>
    </row>
    <row r="18" spans="1:14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2.8308249728051589</v>
      </c>
      <c r="K18">
        <f ca="1"/>
        <v>2.8308249728051589</v>
      </c>
      <c r="M18">
        <f t="shared" ca="1" si="0"/>
        <v>96</v>
      </c>
      <c r="N18" s="3">
        <v>127.8057534246576</v>
      </c>
    </row>
    <row r="19" spans="1:14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0.85376952854306998</v>
      </c>
      <c r="K19">
        <f ca="1"/>
        <v>0.85376952854306998</v>
      </c>
      <c r="M19">
        <f t="shared" ca="1" si="0"/>
        <v>96</v>
      </c>
      <c r="N19" s="3">
        <v>112.04246575342459</v>
      </c>
    </row>
    <row r="20" spans="1:14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f ca="1"/>
        <v>0</v>
      </c>
      <c r="M20">
        <f t="shared" ca="1" si="0"/>
        <v>96</v>
      </c>
      <c r="N20" s="3">
        <v>142.42575342465781</v>
      </c>
    </row>
    <row r="21" spans="1:14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f ca="1"/>
        <v>0</v>
      </c>
      <c r="M21">
        <f t="shared" ca="1" si="0"/>
        <v>96</v>
      </c>
      <c r="N21" s="3">
        <v>229.60082191780819</v>
      </c>
    </row>
    <row r="22" spans="1:14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5.3357756948753873E-2</v>
      </c>
      <c r="K22">
        <f ca="1"/>
        <v>5.3357756948753873E-2</v>
      </c>
      <c r="M22">
        <f t="shared" ca="1" si="0"/>
        <v>96</v>
      </c>
      <c r="N22" s="3">
        <v>120.10849315068492</v>
      </c>
    </row>
    <row r="23" spans="1:14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0.20933652526412447</v>
      </c>
      <c r="G23">
        <v>0.22306175318538735</v>
      </c>
      <c r="H23">
        <v>2.6922143155018476</v>
      </c>
      <c r="I23">
        <v>15.935966970882204</v>
      </c>
      <c r="J23">
        <v>100</v>
      </c>
      <c r="K23">
        <f ca="1"/>
        <v>100</v>
      </c>
      <c r="M23">
        <f t="shared" ca="1" si="0"/>
        <v>96</v>
      </c>
      <c r="N23" s="3">
        <v>38.345753424657516</v>
      </c>
    </row>
    <row r="24" spans="1:14" x14ac:dyDescent="0.3">
      <c r="A24">
        <v>0</v>
      </c>
      <c r="B24">
        <v>0</v>
      </c>
      <c r="C24">
        <v>0</v>
      </c>
      <c r="D24">
        <v>0.82443078298063077</v>
      </c>
      <c r="E24">
        <v>1.7681089838991446</v>
      </c>
      <c r="F24">
        <v>3.3428595422658085</v>
      </c>
      <c r="G24">
        <v>6.4979893608595356</v>
      </c>
      <c r="H24">
        <v>14.46146041734691</v>
      </c>
      <c r="I24">
        <v>100</v>
      </c>
      <c r="J24">
        <v>100</v>
      </c>
      <c r="K24">
        <f ca="1"/>
        <v>100</v>
      </c>
      <c r="M24">
        <f t="shared" ca="1" si="0"/>
        <v>96</v>
      </c>
      <c r="N24" s="3">
        <v>30.174246575342462</v>
      </c>
    </row>
    <row r="25" spans="1:14" x14ac:dyDescent="0.3">
      <c r="A25">
        <v>0</v>
      </c>
      <c r="B25">
        <v>0</v>
      </c>
      <c r="C25">
        <v>0</v>
      </c>
      <c r="D25">
        <v>4.3559486710806699</v>
      </c>
      <c r="E25">
        <v>11.253283319422053</v>
      </c>
      <c r="F25">
        <v>16.91317525539824</v>
      </c>
      <c r="G25">
        <v>31.521742932058025</v>
      </c>
      <c r="H25">
        <v>100</v>
      </c>
      <c r="I25">
        <v>100</v>
      </c>
      <c r="J25">
        <v>100</v>
      </c>
      <c r="K25">
        <f ca="1"/>
        <v>100</v>
      </c>
      <c r="M25">
        <f t="shared" ca="1" si="0"/>
        <v>96</v>
      </c>
      <c r="N25" s="3">
        <v>25.041095890410951</v>
      </c>
    </row>
    <row r="27" spans="1:14" x14ac:dyDescent="0.3">
      <c r="A27">
        <v>0</v>
      </c>
      <c r="B27">
        <v>5.3</v>
      </c>
      <c r="C27">
        <v>15.3</v>
      </c>
      <c r="D27">
        <v>19.600000000000001</v>
      </c>
      <c r="E27">
        <v>22.7</v>
      </c>
      <c r="F27">
        <v>26.2</v>
      </c>
      <c r="G27">
        <v>31.8</v>
      </c>
      <c r="H27">
        <v>40.1</v>
      </c>
      <c r="I27">
        <v>53.2</v>
      </c>
      <c r="J27">
        <v>96</v>
      </c>
      <c r="K27">
        <f ca="1">OFFSET(A27,0,Q1-1)</f>
        <v>96</v>
      </c>
    </row>
    <row r="30" spans="1:14" x14ac:dyDescent="0.3">
      <c r="A30" s="4" t="s">
        <v>4</v>
      </c>
      <c r="B30" s="4" t="s">
        <v>3</v>
      </c>
    </row>
    <row r="31" spans="1:14" x14ac:dyDescent="0.3">
      <c r="A31" s="4">
        <v>1</v>
      </c>
      <c r="B31" s="5">
        <v>-58.12300045202786</v>
      </c>
      <c r="C31" s="5">
        <v>-18.469388190949211</v>
      </c>
      <c r="D31">
        <v>1</v>
      </c>
      <c r="E31">
        <f>1000</f>
        <v>1000</v>
      </c>
    </row>
    <row r="32" spans="1:14" x14ac:dyDescent="0.3">
      <c r="A32" s="4">
        <v>2</v>
      </c>
      <c r="B32" s="5">
        <v>-42.470988605225223</v>
      </c>
      <c r="C32" s="5">
        <v>-13.3429848271861</v>
      </c>
      <c r="D32">
        <v>1</v>
      </c>
    </row>
    <row r="33" spans="1:4" x14ac:dyDescent="0.3">
      <c r="A33" s="4">
        <v>3</v>
      </c>
      <c r="B33" s="5">
        <v>-19.20282270433454</v>
      </c>
      <c r="C33" s="5">
        <v>-6.3173916061572708</v>
      </c>
      <c r="D33">
        <v>1</v>
      </c>
    </row>
    <row r="34" spans="1:4" x14ac:dyDescent="0.3">
      <c r="A34" s="4">
        <v>4</v>
      </c>
      <c r="B34" s="5">
        <v>-12.891704341435101</v>
      </c>
      <c r="C34" s="5">
        <v>-3.4460998794796214</v>
      </c>
      <c r="D34">
        <v>1</v>
      </c>
    </row>
    <row r="35" spans="1:4" x14ac:dyDescent="0.3">
      <c r="A35" s="4">
        <v>5</v>
      </c>
      <c r="B35" s="5">
        <v>-11.670093175127757</v>
      </c>
      <c r="C35" s="5">
        <v>-3.2929751588113443</v>
      </c>
      <c r="D35">
        <v>1</v>
      </c>
    </row>
    <row r="36" spans="1:4" x14ac:dyDescent="0.3">
      <c r="A36" s="4">
        <v>6</v>
      </c>
      <c r="B36" s="5">
        <v>-11.306733579409483</v>
      </c>
      <c r="C36" s="5">
        <v>-3.1464771087689152</v>
      </c>
      <c r="D36">
        <v>1</v>
      </c>
    </row>
    <row r="37" spans="1:4" x14ac:dyDescent="0.3">
      <c r="A37" s="4">
        <v>7</v>
      </c>
      <c r="B37" s="5">
        <v>-3.4460998794796214</v>
      </c>
      <c r="C37" s="5">
        <v>-0.10160393218531136</v>
      </c>
      <c r="D37">
        <v>1</v>
      </c>
    </row>
    <row r="38" spans="1:4" x14ac:dyDescent="0.3">
      <c r="A38" s="4">
        <v>8</v>
      </c>
      <c r="B38" s="5">
        <v>-3.2929751588113443</v>
      </c>
      <c r="C38" s="5">
        <v>0.2033585742663869</v>
      </c>
      <c r="D38">
        <v>1</v>
      </c>
    </row>
    <row r="39" spans="1:4" x14ac:dyDescent="0.3">
      <c r="A39" s="4">
        <v>9</v>
      </c>
      <c r="B39" s="5">
        <v>-2.4384136522345772</v>
      </c>
      <c r="C39" s="5">
        <v>1.3227728115888018</v>
      </c>
      <c r="D39">
        <v>1</v>
      </c>
    </row>
    <row r="40" spans="1:4" x14ac:dyDescent="0.3">
      <c r="A40" s="4">
        <v>10</v>
      </c>
      <c r="B40" s="5">
        <v>-2.3066221016785615</v>
      </c>
      <c r="C40" s="5">
        <v>2.227233529216647</v>
      </c>
      <c r="D40">
        <v>1</v>
      </c>
    </row>
    <row r="41" spans="1:4" x14ac:dyDescent="0.3">
      <c r="A41" s="4">
        <v>11</v>
      </c>
      <c r="B41" s="5">
        <v>-1.9881037513978908</v>
      </c>
      <c r="C41" s="5">
        <v>2.4294063603223366</v>
      </c>
      <c r="D41">
        <v>1</v>
      </c>
    </row>
    <row r="42" spans="1:4" x14ac:dyDescent="0.3">
      <c r="A42" s="4">
        <v>12</v>
      </c>
      <c r="B42" s="5">
        <v>-0.10160393218531136</v>
      </c>
      <c r="C42" s="5">
        <v>3.0990524026680513</v>
      </c>
      <c r="D42">
        <v>1</v>
      </c>
    </row>
    <row r="43" spans="1:4" x14ac:dyDescent="0.3">
      <c r="A43" s="4">
        <v>13</v>
      </c>
      <c r="B43" s="5">
        <v>1.8050486729575796</v>
      </c>
      <c r="C43" s="5">
        <v>4.4183765711976193</v>
      </c>
      <c r="D43">
        <f t="shared" ref="D43:D62" si="1">MOD(A43,3)</f>
        <v>1</v>
      </c>
    </row>
    <row r="44" spans="1:4" x14ac:dyDescent="0.3">
      <c r="A44" s="4">
        <v>16</v>
      </c>
      <c r="B44" s="5">
        <v>2.4294063603223366</v>
      </c>
      <c r="C44" s="5">
        <v>6.5880962107069223</v>
      </c>
      <c r="D44">
        <f t="shared" si="1"/>
        <v>1</v>
      </c>
    </row>
    <row r="45" spans="1:4" x14ac:dyDescent="0.3">
      <c r="A45" s="4">
        <v>19</v>
      </c>
      <c r="B45" s="5">
        <v>5.0502892404216952</v>
      </c>
      <c r="C45" s="5">
        <v>7.5879165269235411</v>
      </c>
      <c r="D45">
        <f t="shared" si="1"/>
        <v>1</v>
      </c>
    </row>
    <row r="46" spans="1:4" x14ac:dyDescent="0.3">
      <c r="A46" s="4">
        <v>22</v>
      </c>
      <c r="B46" s="5">
        <v>7.7771145511483217</v>
      </c>
      <c r="C46" s="5">
        <v>8.3295061664962624</v>
      </c>
      <c r="D46">
        <f t="shared" si="1"/>
        <v>1</v>
      </c>
    </row>
    <row r="47" spans="1:4" x14ac:dyDescent="0.3">
      <c r="A47" s="4">
        <v>25</v>
      </c>
      <c r="B47" s="5">
        <v>8.2397599974789433</v>
      </c>
      <c r="C47" s="5">
        <v>10.065258630215192</v>
      </c>
      <c r="D47">
        <f t="shared" si="1"/>
        <v>1</v>
      </c>
    </row>
    <row r="48" spans="1:4" x14ac:dyDescent="0.3">
      <c r="A48" s="4">
        <v>28</v>
      </c>
      <c r="B48" s="5">
        <v>9.9011180188295285</v>
      </c>
      <c r="C48" s="5">
        <v>12.514485138720556</v>
      </c>
      <c r="D48">
        <f t="shared" si="1"/>
        <v>1</v>
      </c>
    </row>
    <row r="49" spans="1:4" x14ac:dyDescent="0.3">
      <c r="A49" s="4">
        <v>31</v>
      </c>
      <c r="B49" s="5">
        <v>11.038215485317817</v>
      </c>
      <c r="C49" s="5">
        <v>13.18319057013704</v>
      </c>
      <c r="D49">
        <f t="shared" si="1"/>
        <v>1</v>
      </c>
    </row>
    <row r="50" spans="1:4" x14ac:dyDescent="0.3">
      <c r="A50" s="4">
        <v>34</v>
      </c>
      <c r="B50" s="5">
        <v>12.707404052716612</v>
      </c>
      <c r="C50" s="5">
        <v>14.604680256117211</v>
      </c>
      <c r="D50">
        <f t="shared" si="1"/>
        <v>1</v>
      </c>
    </row>
    <row r="51" spans="1:4" x14ac:dyDescent="0.3">
      <c r="A51" s="4">
        <v>37</v>
      </c>
      <c r="B51" s="5">
        <v>13.156009318283848</v>
      </c>
      <c r="C51" s="5">
        <v>15.381491737143776</v>
      </c>
      <c r="D51">
        <f t="shared" si="1"/>
        <v>1</v>
      </c>
    </row>
    <row r="52" spans="1:4" x14ac:dyDescent="0.3">
      <c r="A52" s="4">
        <v>40</v>
      </c>
      <c r="B52" s="5">
        <v>14.548890915259983</v>
      </c>
      <c r="C52" s="5">
        <v>16.296943161315884</v>
      </c>
      <c r="D52">
        <f t="shared" si="1"/>
        <v>1</v>
      </c>
    </row>
    <row r="53" spans="1:4" x14ac:dyDescent="0.3">
      <c r="A53" s="4">
        <v>43</v>
      </c>
      <c r="B53" s="5">
        <v>16.507131070943878</v>
      </c>
      <c r="C53" s="5">
        <v>16.59060598094436</v>
      </c>
      <c r="D53">
        <f t="shared" si="1"/>
        <v>1</v>
      </c>
    </row>
    <row r="54" spans="1:4" x14ac:dyDescent="0.3">
      <c r="A54" s="4">
        <v>46</v>
      </c>
      <c r="B54" s="5">
        <v>16.817849591941396</v>
      </c>
      <c r="C54" s="5">
        <v>17.503044085363765</v>
      </c>
      <c r="D54">
        <f t="shared" si="1"/>
        <v>1</v>
      </c>
    </row>
    <row r="55" spans="1:4" x14ac:dyDescent="0.3">
      <c r="A55" s="4">
        <v>49</v>
      </c>
      <c r="B55" s="5">
        <v>18.243261652229606</v>
      </c>
      <c r="C55" s="5">
        <v>19.389053838513181</v>
      </c>
      <c r="D55">
        <f t="shared" si="1"/>
        <v>1</v>
      </c>
    </row>
    <row r="56" spans="1:4" x14ac:dyDescent="0.3">
      <c r="A56" s="4">
        <v>52</v>
      </c>
      <c r="B56" s="5">
        <v>19.812600321363011</v>
      </c>
      <c r="C56" s="5">
        <v>19.774858706557584</v>
      </c>
      <c r="D56">
        <f t="shared" si="1"/>
        <v>1</v>
      </c>
    </row>
    <row r="57" spans="1:4" x14ac:dyDescent="0.3">
      <c r="A57" s="4">
        <v>55</v>
      </c>
      <c r="B57" s="5">
        <v>21.865646804774464</v>
      </c>
      <c r="C57" s="5">
        <v>20.528537451012451</v>
      </c>
      <c r="D57">
        <f t="shared" si="1"/>
        <v>1</v>
      </c>
    </row>
    <row r="58" spans="1:4" x14ac:dyDescent="0.3">
      <c r="A58" s="4">
        <v>58</v>
      </c>
      <c r="B58" s="5">
        <v>22.51873364973542</v>
      </c>
      <c r="C58" s="5">
        <v>21.008243191415893</v>
      </c>
      <c r="D58">
        <f t="shared" si="1"/>
        <v>1</v>
      </c>
    </row>
    <row r="59" spans="1:4" x14ac:dyDescent="0.3">
      <c r="A59" s="4">
        <v>61</v>
      </c>
      <c r="B59" s="5">
        <v>23.55051752668399</v>
      </c>
      <c r="C59" s="5">
        <v>21.815934977455562</v>
      </c>
      <c r="D59">
        <f t="shared" si="1"/>
        <v>1</v>
      </c>
    </row>
    <row r="60" spans="1:4" x14ac:dyDescent="0.3">
      <c r="A60" s="4">
        <v>64</v>
      </c>
      <c r="B60" s="5">
        <v>23.842790772127007</v>
      </c>
      <c r="C60" s="5">
        <v>22.346239943511883</v>
      </c>
      <c r="D60">
        <f t="shared" si="1"/>
        <v>1</v>
      </c>
    </row>
    <row r="61" spans="1:4" x14ac:dyDescent="0.3">
      <c r="A61" s="4">
        <v>67</v>
      </c>
      <c r="B61" s="5">
        <v>24.916367043314583</v>
      </c>
      <c r="C61" s="5">
        <v>23.538457777873965</v>
      </c>
      <c r="D61">
        <f t="shared" si="1"/>
        <v>1</v>
      </c>
    </row>
    <row r="62" spans="1:4" x14ac:dyDescent="0.3">
      <c r="A62" s="4">
        <v>70</v>
      </c>
      <c r="B62" s="5">
        <v>26.693083666041595</v>
      </c>
      <c r="C62" s="5">
        <v>24.867259184547937</v>
      </c>
      <c r="D62">
        <f t="shared" si="1"/>
        <v>1</v>
      </c>
    </row>
    <row r="63" spans="1:4" x14ac:dyDescent="0.3">
      <c r="A63" s="4">
        <v>73</v>
      </c>
      <c r="B63" s="5">
        <v>27.0244652454464</v>
      </c>
      <c r="C63" s="5">
        <v>25.31699805046814</v>
      </c>
      <c r="D63">
        <f t="shared" ref="D63:D126" si="2">MOD(A63,3)</f>
        <v>1</v>
      </c>
    </row>
    <row r="64" spans="1:4" x14ac:dyDescent="0.3">
      <c r="A64" s="4">
        <v>76</v>
      </c>
      <c r="B64" s="5">
        <v>27.239432045181996</v>
      </c>
      <c r="C64" s="5">
        <v>26.007108609274145</v>
      </c>
      <c r="D64">
        <f t="shared" si="2"/>
        <v>1</v>
      </c>
    </row>
    <row r="65" spans="1:4" x14ac:dyDescent="0.3">
      <c r="A65" s="4">
        <v>79</v>
      </c>
      <c r="B65" s="5">
        <v>27.512329478986665</v>
      </c>
      <c r="C65" s="5">
        <v>26.206296765170453</v>
      </c>
      <c r="D65">
        <f t="shared" si="2"/>
        <v>1</v>
      </c>
    </row>
    <row r="66" spans="1:4" x14ac:dyDescent="0.3">
      <c r="A66" s="4">
        <v>82</v>
      </c>
      <c r="B66" s="5">
        <v>28.093296052737326</v>
      </c>
      <c r="C66" s="5">
        <v>26.492870929343596</v>
      </c>
      <c r="D66">
        <f t="shared" si="2"/>
        <v>1</v>
      </c>
    </row>
    <row r="67" spans="1:4" x14ac:dyDescent="0.3">
      <c r="A67" s="4">
        <v>85</v>
      </c>
      <c r="B67" s="5">
        <v>28.524398392944789</v>
      </c>
      <c r="C67" s="5">
        <v>26.709355439523165</v>
      </c>
      <c r="D67">
        <f t="shared" si="2"/>
        <v>1</v>
      </c>
    </row>
    <row r="68" spans="1:4" x14ac:dyDescent="0.3">
      <c r="A68" s="4">
        <v>88</v>
      </c>
      <c r="B68" s="5">
        <v>29.096364640203912</v>
      </c>
      <c r="C68" s="5">
        <v>27.184251472649084</v>
      </c>
      <c r="D68">
        <f t="shared" si="2"/>
        <v>1</v>
      </c>
    </row>
    <row r="69" spans="1:4" x14ac:dyDescent="0.3">
      <c r="A69" s="4">
        <v>91</v>
      </c>
      <c r="B69" s="5">
        <v>29.494673951049023</v>
      </c>
      <c r="C69" s="5">
        <v>27.445694558283961</v>
      </c>
      <c r="D69">
        <f t="shared" si="2"/>
        <v>1</v>
      </c>
    </row>
    <row r="70" spans="1:4" x14ac:dyDescent="0.3">
      <c r="A70" s="4">
        <v>94</v>
      </c>
      <c r="B70" s="5">
        <v>29.908514927822974</v>
      </c>
      <c r="C70" s="5">
        <v>28.022435381133054</v>
      </c>
      <c r="D70">
        <f t="shared" si="2"/>
        <v>1</v>
      </c>
    </row>
    <row r="71" spans="1:4" x14ac:dyDescent="0.3">
      <c r="A71" s="4">
        <v>97</v>
      </c>
      <c r="B71" s="5">
        <v>30.859231256809945</v>
      </c>
      <c r="C71" s="5">
        <v>28.263431915558513</v>
      </c>
      <c r="D71">
        <f t="shared" si="2"/>
        <v>1</v>
      </c>
    </row>
    <row r="72" spans="1:4" x14ac:dyDescent="0.3">
      <c r="A72" s="4">
        <v>100</v>
      </c>
      <c r="B72" s="5">
        <v>31.539379964868999</v>
      </c>
      <c r="C72" s="5">
        <v>29.062403342150009</v>
      </c>
      <c r="D72">
        <f t="shared" si="2"/>
        <v>1</v>
      </c>
    </row>
    <row r="73" spans="1:4" x14ac:dyDescent="0.3">
      <c r="A73" s="4">
        <v>103</v>
      </c>
      <c r="B73" s="5">
        <v>32.363883332029609</v>
      </c>
      <c r="C73" s="5">
        <v>29.910774596272557</v>
      </c>
      <c r="D73">
        <f t="shared" si="2"/>
        <v>1</v>
      </c>
    </row>
    <row r="74" spans="1:4" x14ac:dyDescent="0.3">
      <c r="A74" s="4">
        <v>106</v>
      </c>
      <c r="B74" s="5">
        <v>34.110645358437203</v>
      </c>
      <c r="C74" s="5">
        <v>30.795845858075477</v>
      </c>
      <c r="D74">
        <f t="shared" si="2"/>
        <v>1</v>
      </c>
    </row>
    <row r="75" spans="1:4" x14ac:dyDescent="0.3">
      <c r="A75" s="4">
        <v>109</v>
      </c>
      <c r="B75" s="5">
        <v>35.335725047084821</v>
      </c>
      <c r="C75" s="5">
        <v>31.139522897743763</v>
      </c>
      <c r="D75">
        <f t="shared" si="2"/>
        <v>1</v>
      </c>
    </row>
    <row r="76" spans="1:4" x14ac:dyDescent="0.3">
      <c r="A76" s="4">
        <v>112</v>
      </c>
      <c r="B76" s="5">
        <v>35.886127296929793</v>
      </c>
      <c r="C76" s="5">
        <v>32.337174128773583</v>
      </c>
      <c r="D76">
        <f t="shared" si="2"/>
        <v>1</v>
      </c>
    </row>
    <row r="77" spans="1:4" x14ac:dyDescent="0.3">
      <c r="A77" s="4">
        <v>115</v>
      </c>
      <c r="B77" s="5">
        <v>36.207092170737454</v>
      </c>
      <c r="C77" s="5">
        <v>32.685651629604827</v>
      </c>
      <c r="D77">
        <f t="shared" si="2"/>
        <v>1</v>
      </c>
    </row>
    <row r="78" spans="1:4" x14ac:dyDescent="0.3">
      <c r="A78" s="4">
        <v>118</v>
      </c>
      <c r="B78" s="5">
        <v>36.423813217779355</v>
      </c>
      <c r="C78" s="5">
        <v>33.778320937775284</v>
      </c>
      <c r="D78">
        <f t="shared" si="2"/>
        <v>1</v>
      </c>
    </row>
    <row r="79" spans="1:4" x14ac:dyDescent="0.3">
      <c r="A79" s="4">
        <v>121</v>
      </c>
      <c r="B79" s="5">
        <v>39.104760936575964</v>
      </c>
      <c r="C79" s="5">
        <v>34.527174284429769</v>
      </c>
      <c r="D79">
        <f t="shared" si="2"/>
        <v>1</v>
      </c>
    </row>
    <row r="80" spans="1:4" x14ac:dyDescent="0.3">
      <c r="A80" s="4">
        <v>124</v>
      </c>
      <c r="B80" s="5">
        <v>40.051386400371229</v>
      </c>
      <c r="C80" s="5">
        <v>34.915723936128934</v>
      </c>
      <c r="D80">
        <f t="shared" si="2"/>
        <v>1</v>
      </c>
    </row>
    <row r="81" spans="1:4" x14ac:dyDescent="0.3">
      <c r="A81" s="4">
        <v>127</v>
      </c>
      <c r="B81" s="5">
        <v>41.586399683660268</v>
      </c>
      <c r="C81" s="5">
        <v>35.643284867861205</v>
      </c>
      <c r="D81">
        <f t="shared" si="2"/>
        <v>1</v>
      </c>
    </row>
    <row r="82" spans="1:4" x14ac:dyDescent="0.3">
      <c r="A82" s="4">
        <v>130</v>
      </c>
      <c r="B82" s="5">
        <v>42.463873993694612</v>
      </c>
      <c r="C82" s="5">
        <v>36.110755907139286</v>
      </c>
      <c r="D82">
        <f t="shared" si="2"/>
        <v>1</v>
      </c>
    </row>
    <row r="83" spans="1:4" x14ac:dyDescent="0.3">
      <c r="A83" s="4">
        <v>133</v>
      </c>
      <c r="B83" s="5">
        <v>43.088131746381862</v>
      </c>
      <c r="C83" s="5">
        <v>36.564155168899937</v>
      </c>
      <c r="D83">
        <f t="shared" si="2"/>
        <v>1</v>
      </c>
    </row>
    <row r="84" spans="1:4" x14ac:dyDescent="0.3">
      <c r="A84" s="4">
        <v>136</v>
      </c>
      <c r="B84" s="5">
        <v>44.442873079704647</v>
      </c>
      <c r="C84" s="5">
        <v>37.018803457682111</v>
      </c>
      <c r="D84">
        <f t="shared" si="2"/>
        <v>1</v>
      </c>
    </row>
    <row r="85" spans="1:4" x14ac:dyDescent="0.3">
      <c r="A85" s="4">
        <v>139</v>
      </c>
      <c r="B85" s="5">
        <v>44.888713807887989</v>
      </c>
      <c r="C85" s="5">
        <v>38.213427418087093</v>
      </c>
      <c r="D85">
        <f t="shared" si="2"/>
        <v>1</v>
      </c>
    </row>
    <row r="86" spans="1:4" x14ac:dyDescent="0.3">
      <c r="A86" s="4">
        <v>142</v>
      </c>
      <c r="B86" s="5">
        <v>46.403904399227123</v>
      </c>
      <c r="C86" s="5">
        <v>38.995773055533427</v>
      </c>
      <c r="D86">
        <f t="shared" si="2"/>
        <v>1</v>
      </c>
    </row>
    <row r="87" spans="1:4" x14ac:dyDescent="0.3">
      <c r="A87" s="4">
        <v>145</v>
      </c>
      <c r="B87" s="5">
        <v>47.284512703093327</v>
      </c>
      <c r="C87" s="5">
        <v>40.780376102824583</v>
      </c>
      <c r="D87">
        <f t="shared" si="2"/>
        <v>1</v>
      </c>
    </row>
    <row r="88" spans="1:4" x14ac:dyDescent="0.3">
      <c r="A88" s="4">
        <v>148</v>
      </c>
      <c r="B88" s="5">
        <v>48.157646772114951</v>
      </c>
      <c r="C88" s="5">
        <v>41.086482385427807</v>
      </c>
      <c r="D88">
        <f t="shared" si="2"/>
        <v>1</v>
      </c>
    </row>
    <row r="89" spans="1:4" x14ac:dyDescent="0.3">
      <c r="A89" s="4">
        <v>151</v>
      </c>
      <c r="B89" s="5">
        <v>49.307205820480085</v>
      </c>
      <c r="C89" s="5">
        <v>41.72207468226803</v>
      </c>
      <c r="D89">
        <f t="shared" si="2"/>
        <v>1</v>
      </c>
    </row>
    <row r="90" spans="1:4" x14ac:dyDescent="0.3">
      <c r="A90" s="4">
        <v>154</v>
      </c>
      <c r="B90" s="5">
        <v>50.224316856250553</v>
      </c>
      <c r="C90" s="5">
        <v>42.655660195999268</v>
      </c>
      <c r="D90">
        <f t="shared" si="2"/>
        <v>1</v>
      </c>
    </row>
    <row r="91" spans="1:4" x14ac:dyDescent="0.3">
      <c r="A91" s="4">
        <v>157</v>
      </c>
      <c r="B91" s="5">
        <v>50.430239444961131</v>
      </c>
      <c r="C91" s="5">
        <v>43.250795584069479</v>
      </c>
      <c r="D91">
        <f t="shared" si="2"/>
        <v>1</v>
      </c>
    </row>
    <row r="92" spans="1:4" x14ac:dyDescent="0.3">
      <c r="A92" s="4">
        <v>160</v>
      </c>
      <c r="B92" s="5">
        <v>50.964811746369641</v>
      </c>
      <c r="C92" s="5">
        <v>44.245888569021545</v>
      </c>
      <c r="D92">
        <f t="shared" si="2"/>
        <v>1</v>
      </c>
    </row>
    <row r="93" spans="1:4" x14ac:dyDescent="0.3">
      <c r="A93" s="4">
        <v>163</v>
      </c>
      <c r="B93" s="5">
        <v>51.399746352744479</v>
      </c>
      <c r="C93" s="5">
        <v>44.814862371073787</v>
      </c>
      <c r="D93">
        <f t="shared" si="2"/>
        <v>1</v>
      </c>
    </row>
    <row r="94" spans="1:4" x14ac:dyDescent="0.3">
      <c r="A94" s="4">
        <v>166</v>
      </c>
      <c r="B94" s="5">
        <v>52.2572967255945</v>
      </c>
      <c r="C94" s="5">
        <v>45.82299148941491</v>
      </c>
      <c r="D94">
        <f t="shared" si="2"/>
        <v>1</v>
      </c>
    </row>
    <row r="95" spans="1:4" x14ac:dyDescent="0.3">
      <c r="A95" s="4">
        <v>169</v>
      </c>
      <c r="B95" s="5">
        <v>53.879420552398351</v>
      </c>
      <c r="C95" s="5">
        <v>46.969882613258292</v>
      </c>
      <c r="D95">
        <f t="shared" si="2"/>
        <v>1</v>
      </c>
    </row>
    <row r="96" spans="1:4" x14ac:dyDescent="0.3">
      <c r="A96" s="4">
        <v>172</v>
      </c>
      <c r="B96" s="5">
        <v>54.127266930262898</v>
      </c>
      <c r="C96" s="5">
        <v>47.536260938913777</v>
      </c>
      <c r="D96">
        <f t="shared" si="2"/>
        <v>1</v>
      </c>
    </row>
    <row r="97" spans="1:4" x14ac:dyDescent="0.3">
      <c r="A97" s="4">
        <v>175</v>
      </c>
      <c r="B97" s="5">
        <v>54.916172248395398</v>
      </c>
      <c r="C97" s="5">
        <v>47.986850220010083</v>
      </c>
      <c r="D97">
        <f t="shared" si="2"/>
        <v>1</v>
      </c>
    </row>
    <row r="98" spans="1:4" x14ac:dyDescent="0.3">
      <c r="A98" s="4">
        <v>178</v>
      </c>
      <c r="B98" s="5">
        <v>55.653505855564141</v>
      </c>
      <c r="C98" s="5">
        <v>49.094032387468324</v>
      </c>
      <c r="D98">
        <f t="shared" si="2"/>
        <v>1</v>
      </c>
    </row>
    <row r="99" spans="1:4" x14ac:dyDescent="0.3">
      <c r="A99" s="4">
        <v>181</v>
      </c>
      <c r="B99" s="5">
        <v>56.419764818513066</v>
      </c>
      <c r="C99" s="5">
        <v>49.362461285976408</v>
      </c>
      <c r="D99">
        <f t="shared" si="2"/>
        <v>1</v>
      </c>
    </row>
    <row r="100" spans="1:4" x14ac:dyDescent="0.3">
      <c r="A100" s="4">
        <v>184</v>
      </c>
      <c r="B100" s="5">
        <v>56.947272615221401</v>
      </c>
      <c r="C100" s="5">
        <v>50.120309987839768</v>
      </c>
      <c r="D100">
        <f t="shared" si="2"/>
        <v>1</v>
      </c>
    </row>
    <row r="101" spans="1:4" x14ac:dyDescent="0.3">
      <c r="A101" s="4">
        <v>187</v>
      </c>
      <c r="B101" s="5">
        <v>57.146980354051898</v>
      </c>
      <c r="C101" s="5">
        <v>50.203447867129093</v>
      </c>
      <c r="D101">
        <f t="shared" si="2"/>
        <v>1</v>
      </c>
    </row>
    <row r="102" spans="1:4" x14ac:dyDescent="0.3">
      <c r="A102" s="4">
        <v>190</v>
      </c>
      <c r="B102" s="5">
        <v>57.811373802848358</v>
      </c>
      <c r="C102" s="5">
        <v>50.629558486276188</v>
      </c>
      <c r="D102">
        <f t="shared" si="2"/>
        <v>1</v>
      </c>
    </row>
    <row r="103" spans="1:4" x14ac:dyDescent="0.3">
      <c r="A103" s="4">
        <v>193</v>
      </c>
      <c r="B103" s="5">
        <v>58.334224821074272</v>
      </c>
      <c r="C103" s="5">
        <v>51.190789259192485</v>
      </c>
      <c r="D103">
        <f t="shared" si="2"/>
        <v>1</v>
      </c>
    </row>
    <row r="104" spans="1:4" x14ac:dyDescent="0.3">
      <c r="A104" s="4">
        <v>196</v>
      </c>
      <c r="B104" s="5">
        <v>58.631891658603777</v>
      </c>
      <c r="C104" s="5">
        <v>51.755976391785083</v>
      </c>
      <c r="D104">
        <f t="shared" si="2"/>
        <v>1</v>
      </c>
    </row>
    <row r="105" spans="1:4" x14ac:dyDescent="0.3">
      <c r="A105" s="4">
        <v>199</v>
      </c>
      <c r="B105" s="5">
        <v>59.608755440033818</v>
      </c>
      <c r="C105" s="5">
        <v>52.489207195048358</v>
      </c>
      <c r="D105">
        <f t="shared" si="2"/>
        <v>1</v>
      </c>
    </row>
    <row r="106" spans="1:4" x14ac:dyDescent="0.3">
      <c r="A106" s="4">
        <v>202</v>
      </c>
      <c r="B106" s="5">
        <v>59.920540027614457</v>
      </c>
      <c r="C106" s="5">
        <v>53.579356613067787</v>
      </c>
      <c r="D106">
        <f t="shared" si="2"/>
        <v>1</v>
      </c>
    </row>
    <row r="107" spans="1:4" x14ac:dyDescent="0.3">
      <c r="A107" s="4">
        <v>205</v>
      </c>
      <c r="B107" s="5">
        <v>61.439672951681793</v>
      </c>
      <c r="C107" s="5">
        <v>53.9639307643819</v>
      </c>
      <c r="D107">
        <f t="shared" si="2"/>
        <v>1</v>
      </c>
    </row>
    <row r="108" spans="1:4" x14ac:dyDescent="0.3">
      <c r="A108" s="4">
        <v>208</v>
      </c>
      <c r="B108" s="5">
        <v>63.066299789050156</v>
      </c>
      <c r="C108" s="5">
        <v>55.739732791253466</v>
      </c>
      <c r="D108">
        <f t="shared" si="2"/>
        <v>1</v>
      </c>
    </row>
    <row r="109" spans="1:4" x14ac:dyDescent="0.3">
      <c r="A109" s="4">
        <v>211</v>
      </c>
      <c r="B109" s="5">
        <v>63.985932215978366</v>
      </c>
      <c r="C109" s="5">
        <v>56.419764818513066</v>
      </c>
      <c r="D109">
        <f t="shared" si="2"/>
        <v>1</v>
      </c>
    </row>
    <row r="110" spans="1:4" x14ac:dyDescent="0.3">
      <c r="A110" s="4">
        <v>214</v>
      </c>
      <c r="B110" s="5">
        <v>65.304570694310669</v>
      </c>
      <c r="C110" s="5">
        <v>57.145372192727237</v>
      </c>
      <c r="D110">
        <f t="shared" si="2"/>
        <v>1</v>
      </c>
    </row>
    <row r="111" spans="1:4" x14ac:dyDescent="0.3">
      <c r="A111" s="4">
        <v>217</v>
      </c>
      <c r="B111" s="5">
        <v>66.492638295290774</v>
      </c>
      <c r="C111" s="5">
        <v>57.498825597012939</v>
      </c>
      <c r="D111">
        <f t="shared" si="2"/>
        <v>1</v>
      </c>
    </row>
    <row r="112" spans="1:4" x14ac:dyDescent="0.3">
      <c r="A112" s="4">
        <v>220</v>
      </c>
      <c r="B112" s="5">
        <v>67.007903748905761</v>
      </c>
      <c r="C112" s="5">
        <v>57.752626165870737</v>
      </c>
      <c r="D112">
        <f t="shared" si="2"/>
        <v>1</v>
      </c>
    </row>
    <row r="113" spans="1:4" x14ac:dyDescent="0.3">
      <c r="A113" s="4">
        <v>223</v>
      </c>
      <c r="B113" s="5">
        <v>68.200248672942678</v>
      </c>
      <c r="C113" s="5">
        <v>58.676690732858248</v>
      </c>
      <c r="D113">
        <f t="shared" si="2"/>
        <v>1</v>
      </c>
    </row>
    <row r="114" spans="1:4" x14ac:dyDescent="0.3">
      <c r="A114" s="4">
        <v>226</v>
      </c>
      <c r="B114" s="5">
        <v>69.4736295291939</v>
      </c>
      <c r="C114" s="5">
        <v>59.568923015771439</v>
      </c>
      <c r="D114">
        <f t="shared" si="2"/>
        <v>1</v>
      </c>
    </row>
    <row r="115" spans="1:4" x14ac:dyDescent="0.3">
      <c r="A115" s="4">
        <v>229</v>
      </c>
      <c r="B115" s="5">
        <v>72.51592739484353</v>
      </c>
      <c r="C115" s="5">
        <v>60.340591211984417</v>
      </c>
      <c r="D115">
        <f t="shared" si="2"/>
        <v>1</v>
      </c>
    </row>
    <row r="116" spans="1:4" x14ac:dyDescent="0.3">
      <c r="A116" s="4">
        <v>232</v>
      </c>
      <c r="B116" s="5">
        <v>75.313432760859513</v>
      </c>
      <c r="C116" s="5">
        <v>61.559382002305654</v>
      </c>
      <c r="D116">
        <f t="shared" si="2"/>
        <v>1</v>
      </c>
    </row>
    <row r="117" spans="1:4" x14ac:dyDescent="0.3">
      <c r="A117" s="4">
        <v>235</v>
      </c>
      <c r="B117" s="5">
        <v>78.239269875699364</v>
      </c>
      <c r="C117" s="5">
        <v>61.896971005940948</v>
      </c>
      <c r="D117">
        <f t="shared" si="2"/>
        <v>1</v>
      </c>
    </row>
    <row r="118" spans="1:4" x14ac:dyDescent="0.3">
      <c r="A118" s="4">
        <v>238</v>
      </c>
      <c r="B118" s="5">
        <v>79.645894794751115</v>
      </c>
      <c r="C118" s="5">
        <v>63.268091102406544</v>
      </c>
      <c r="D118">
        <f t="shared" si="2"/>
        <v>1</v>
      </c>
    </row>
    <row r="119" spans="1:4" x14ac:dyDescent="0.3">
      <c r="A119" s="4">
        <v>241</v>
      </c>
      <c r="B119" s="5">
        <v>81.654331849412713</v>
      </c>
      <c r="C119" s="5">
        <v>65.755848569439138</v>
      </c>
      <c r="D119">
        <f t="shared" si="2"/>
        <v>1</v>
      </c>
    </row>
    <row r="120" spans="1:4" x14ac:dyDescent="0.3">
      <c r="A120" s="4">
        <v>244</v>
      </c>
      <c r="B120" s="5">
        <v>82.380453747629403</v>
      </c>
      <c r="C120" s="5">
        <v>67.27187773378526</v>
      </c>
      <c r="D120">
        <f t="shared" si="2"/>
        <v>1</v>
      </c>
    </row>
    <row r="121" spans="1:4" x14ac:dyDescent="0.3">
      <c r="A121" s="4">
        <v>247</v>
      </c>
      <c r="B121" s="5">
        <v>84.013576130513528</v>
      </c>
      <c r="C121" s="5">
        <v>68.130345523658377</v>
      </c>
      <c r="D121">
        <f t="shared" si="2"/>
        <v>1</v>
      </c>
    </row>
    <row r="122" spans="1:4" x14ac:dyDescent="0.3">
      <c r="A122" s="4">
        <v>250</v>
      </c>
      <c r="B122" s="5">
        <v>86.472853170084903</v>
      </c>
      <c r="C122" s="5">
        <v>69.181703976212304</v>
      </c>
      <c r="D122">
        <f t="shared" si="2"/>
        <v>1</v>
      </c>
    </row>
    <row r="123" spans="1:4" x14ac:dyDescent="0.3">
      <c r="A123" s="4">
        <v>253</v>
      </c>
      <c r="B123" s="5">
        <v>87.21768838923262</v>
      </c>
      <c r="C123" s="5">
        <v>70.320931565478986</v>
      </c>
      <c r="D123">
        <f t="shared" si="2"/>
        <v>1</v>
      </c>
    </row>
    <row r="124" spans="1:4" x14ac:dyDescent="0.3">
      <c r="A124" s="4">
        <v>256</v>
      </c>
      <c r="B124" s="5">
        <v>88.147241034509435</v>
      </c>
      <c r="C124" s="5">
        <v>71.560752247036419</v>
      </c>
      <c r="D124">
        <f t="shared" si="2"/>
        <v>1</v>
      </c>
    </row>
    <row r="125" spans="1:4" x14ac:dyDescent="0.3">
      <c r="A125" s="4">
        <v>259</v>
      </c>
      <c r="B125" s="5">
        <v>89.277669810483388</v>
      </c>
      <c r="C125" s="5">
        <v>73.808524238110181</v>
      </c>
      <c r="D125">
        <f t="shared" si="2"/>
        <v>1</v>
      </c>
    </row>
    <row r="126" spans="1:4" x14ac:dyDescent="0.3">
      <c r="A126" s="4">
        <v>262</v>
      </c>
      <c r="B126" s="5">
        <v>89.996669755202632</v>
      </c>
      <c r="C126" s="5">
        <v>74.774694193426114</v>
      </c>
      <c r="D126">
        <f t="shared" si="2"/>
        <v>1</v>
      </c>
    </row>
    <row r="127" spans="1:4" x14ac:dyDescent="0.3">
      <c r="A127" s="4">
        <v>265</v>
      </c>
      <c r="B127" s="5">
        <v>90.398871008137618</v>
      </c>
      <c r="C127" s="5">
        <v>75.810780533075047</v>
      </c>
      <c r="D127">
        <f t="shared" ref="D127:D147" si="3">MOD(A127,3)</f>
        <v>1</v>
      </c>
    </row>
    <row r="128" spans="1:4" x14ac:dyDescent="0.3">
      <c r="A128" s="4">
        <v>268</v>
      </c>
      <c r="B128" s="5">
        <v>91.901524574884903</v>
      </c>
      <c r="C128" s="5">
        <v>77.631470467897543</v>
      </c>
      <c r="D128">
        <f t="shared" si="3"/>
        <v>1</v>
      </c>
    </row>
    <row r="129" spans="1:4" x14ac:dyDescent="0.3">
      <c r="A129" s="4">
        <v>271</v>
      </c>
      <c r="B129" s="5">
        <v>92.964963188937105</v>
      </c>
      <c r="C129" s="5">
        <v>79.29134820551397</v>
      </c>
      <c r="D129">
        <f t="shared" si="3"/>
        <v>1</v>
      </c>
    </row>
    <row r="130" spans="1:4" x14ac:dyDescent="0.3">
      <c r="A130" s="4">
        <v>274</v>
      </c>
      <c r="B130" s="5">
        <v>94.772104361644026</v>
      </c>
      <c r="C130" s="5">
        <v>81.249979390380645</v>
      </c>
      <c r="D130">
        <f t="shared" si="3"/>
        <v>1</v>
      </c>
    </row>
    <row r="131" spans="1:4" x14ac:dyDescent="0.3">
      <c r="A131" s="4">
        <v>277</v>
      </c>
      <c r="B131" s="5">
        <v>97.724614392976193</v>
      </c>
      <c r="C131" s="5">
        <v>81.633096552390029</v>
      </c>
      <c r="D131">
        <f t="shared" si="3"/>
        <v>1</v>
      </c>
    </row>
    <row r="132" spans="1:4" x14ac:dyDescent="0.3">
      <c r="A132" s="4">
        <v>280</v>
      </c>
      <c r="B132" s="5">
        <v>102.89101825990336</v>
      </c>
      <c r="C132" s="5">
        <v>82.847901587463284</v>
      </c>
      <c r="D132">
        <f t="shared" si="3"/>
        <v>1</v>
      </c>
    </row>
    <row r="133" spans="1:4" x14ac:dyDescent="0.3">
      <c r="A133" s="4">
        <v>283</v>
      </c>
      <c r="B133" s="5">
        <v>105.26812377650516</v>
      </c>
      <c r="C133" s="5">
        <v>85.466846934507956</v>
      </c>
      <c r="D133">
        <f t="shared" si="3"/>
        <v>1</v>
      </c>
    </row>
    <row r="134" spans="1:4" x14ac:dyDescent="0.3">
      <c r="A134" s="4">
        <v>286</v>
      </c>
      <c r="B134" s="5">
        <v>109.39136067793395</v>
      </c>
      <c r="C134" s="5">
        <v>86.494814887735686</v>
      </c>
      <c r="D134">
        <f t="shared" si="3"/>
        <v>1</v>
      </c>
    </row>
    <row r="135" spans="1:4" x14ac:dyDescent="0.3">
      <c r="A135" s="4">
        <v>289</v>
      </c>
      <c r="B135" s="5">
        <v>112.9414639346824</v>
      </c>
      <c r="C135" s="5">
        <v>88.156600103067888</v>
      </c>
      <c r="D135">
        <f t="shared" si="3"/>
        <v>1</v>
      </c>
    </row>
    <row r="136" spans="1:4" x14ac:dyDescent="0.3">
      <c r="A136" s="4">
        <v>292</v>
      </c>
      <c r="B136" s="5">
        <v>115.08531489017425</v>
      </c>
      <c r="C136" s="5">
        <v>88.993073127255954</v>
      </c>
      <c r="D136">
        <f t="shared" si="3"/>
        <v>1</v>
      </c>
    </row>
    <row r="137" spans="1:4" x14ac:dyDescent="0.3">
      <c r="A137" s="4">
        <v>295</v>
      </c>
      <c r="B137" s="5">
        <v>117.09773482473679</v>
      </c>
      <c r="C137" s="5">
        <v>89.825911289356952</v>
      </c>
      <c r="D137">
        <f t="shared" si="3"/>
        <v>1</v>
      </c>
    </row>
    <row r="138" spans="1:4" x14ac:dyDescent="0.3">
      <c r="A138" s="4">
        <v>298</v>
      </c>
      <c r="B138" s="5">
        <v>119.19755535711894</v>
      </c>
      <c r="C138" s="5">
        <v>93.04601978490426</v>
      </c>
      <c r="D138">
        <f t="shared" si="3"/>
        <v>1</v>
      </c>
    </row>
    <row r="139" spans="1:4" x14ac:dyDescent="0.3">
      <c r="A139" s="4">
        <v>301</v>
      </c>
      <c r="B139" s="5">
        <v>121.63052724167673</v>
      </c>
      <c r="C139" s="5">
        <v>94.310306600377999</v>
      </c>
      <c r="D139">
        <f t="shared" si="3"/>
        <v>1</v>
      </c>
    </row>
    <row r="140" spans="1:4" x14ac:dyDescent="0.3">
      <c r="A140" s="4">
        <v>304</v>
      </c>
      <c r="B140" s="5">
        <v>123.20998847962956</v>
      </c>
      <c r="C140" s="5">
        <v>95.681399815898246</v>
      </c>
      <c r="D140">
        <f t="shared" si="3"/>
        <v>1</v>
      </c>
    </row>
    <row r="141" spans="1:4" x14ac:dyDescent="0.3">
      <c r="A141" s="4">
        <v>307</v>
      </c>
      <c r="B141" s="5">
        <v>126.37950048465289</v>
      </c>
      <c r="C141" s="5">
        <v>98.58470195730078</v>
      </c>
      <c r="D141">
        <f t="shared" si="3"/>
        <v>1</v>
      </c>
    </row>
    <row r="142" spans="1:4" x14ac:dyDescent="0.3">
      <c r="A142" s="4">
        <v>310</v>
      </c>
      <c r="B142" s="5">
        <v>135.09797410169963</v>
      </c>
      <c r="C142" s="5">
        <v>103.71911589619999</v>
      </c>
      <c r="D142">
        <f t="shared" si="3"/>
        <v>1</v>
      </c>
    </row>
    <row r="143" spans="1:4" x14ac:dyDescent="0.3">
      <c r="A143" s="4">
        <v>313</v>
      </c>
      <c r="B143" s="5">
        <v>149.16714827370103</v>
      </c>
      <c r="C143" s="5">
        <v>104.9622462510884</v>
      </c>
      <c r="D143">
        <f t="shared" si="3"/>
        <v>1</v>
      </c>
    </row>
    <row r="144" spans="1:4" x14ac:dyDescent="0.3">
      <c r="A144" s="4">
        <v>316</v>
      </c>
      <c r="B144" s="5">
        <v>153.77462884372466</v>
      </c>
      <c r="C144" s="5">
        <v>111.48024154510327</v>
      </c>
      <c r="D144">
        <f t="shared" si="3"/>
        <v>1</v>
      </c>
    </row>
    <row r="145" spans="1:4" x14ac:dyDescent="0.3">
      <c r="A145" s="4">
        <v>319</v>
      </c>
      <c r="B145" s="5">
        <v>160.5808526955521</v>
      </c>
      <c r="C145" s="5">
        <v>120.33067188202682</v>
      </c>
      <c r="D145">
        <f t="shared" si="3"/>
        <v>1</v>
      </c>
    </row>
    <row r="146" spans="1:4" x14ac:dyDescent="0.3">
      <c r="A146" s="4">
        <v>322</v>
      </c>
      <c r="B146" s="5">
        <v>164.52962333961437</v>
      </c>
      <c r="C146" s="5">
        <v>131.89120298465113</v>
      </c>
      <c r="D146">
        <f t="shared" si="3"/>
        <v>1</v>
      </c>
    </row>
    <row r="147" spans="1:4" x14ac:dyDescent="0.3">
      <c r="A147" s="4">
        <v>325</v>
      </c>
      <c r="B147" s="5">
        <v>178.07568556318088</v>
      </c>
      <c r="C147" s="5">
        <v>137.49027196040581</v>
      </c>
      <c r="D147">
        <f t="shared" si="3"/>
        <v>1</v>
      </c>
    </row>
    <row r="148" spans="1:4" x14ac:dyDescent="0.3">
      <c r="A148" s="4">
        <v>328</v>
      </c>
      <c r="B148" s="5">
        <v>191.84138580543609</v>
      </c>
      <c r="C148" s="5">
        <v>139.29864482020994</v>
      </c>
      <c r="D148">
        <f t="shared" ref="D148:D158" si="4">MOD(A148,3)</f>
        <v>1</v>
      </c>
    </row>
    <row r="149" spans="1:4" x14ac:dyDescent="0.3">
      <c r="A149" s="4">
        <v>331</v>
      </c>
      <c r="B149" s="5">
        <v>215.21483561333295</v>
      </c>
      <c r="C149" s="5">
        <v>150.00808310715203</v>
      </c>
      <c r="D149">
        <f t="shared" si="4"/>
        <v>1</v>
      </c>
    </row>
    <row r="150" spans="1:4" x14ac:dyDescent="0.3">
      <c r="A150" s="4">
        <v>334</v>
      </c>
      <c r="B150" s="5">
        <v>227.10344966185824</v>
      </c>
      <c r="C150" s="5">
        <v>162.1680636698799</v>
      </c>
      <c r="D150">
        <f t="shared" si="4"/>
        <v>1</v>
      </c>
    </row>
    <row r="151" spans="1:4" x14ac:dyDescent="0.3">
      <c r="A151" s="4">
        <v>337</v>
      </c>
      <c r="B151" s="5">
        <v>260.01485843979282</v>
      </c>
      <c r="C151" s="5">
        <v>183.62856438055874</v>
      </c>
      <c r="D151">
        <f t="shared" si="4"/>
        <v>1</v>
      </c>
    </row>
    <row r="152" spans="1:4" x14ac:dyDescent="0.3">
      <c r="A152" s="4">
        <v>340</v>
      </c>
      <c r="B152" s="5">
        <v>292.28192551159242</v>
      </c>
      <c r="C152" s="5">
        <v>194.57012362158224</v>
      </c>
      <c r="D152">
        <f t="shared" si="4"/>
        <v>1</v>
      </c>
    </row>
    <row r="153" spans="1:4" x14ac:dyDescent="0.3">
      <c r="A153" s="4">
        <v>343</v>
      </c>
      <c r="B153" s="5">
        <v>330.6188479509126</v>
      </c>
      <c r="C153" s="5">
        <v>265.22452372220511</v>
      </c>
      <c r="D153">
        <f t="shared" si="4"/>
        <v>1</v>
      </c>
    </row>
    <row r="154" spans="1:4" x14ac:dyDescent="0.3">
      <c r="A154" s="4">
        <v>346</v>
      </c>
      <c r="B154" s="5">
        <v>344.11843907045068</v>
      </c>
      <c r="C154" s="5">
        <v>315.56477833419154</v>
      </c>
      <c r="D154">
        <f t="shared" si="4"/>
        <v>1</v>
      </c>
    </row>
    <row r="155" spans="1:4" x14ac:dyDescent="0.3">
      <c r="A155" s="4">
        <v>349</v>
      </c>
      <c r="B155" s="5">
        <v>354.94151750608268</v>
      </c>
      <c r="C155" s="5">
        <v>343.29659933585509</v>
      </c>
      <c r="D155">
        <f t="shared" si="4"/>
        <v>1</v>
      </c>
    </row>
    <row r="156" spans="1:4" x14ac:dyDescent="0.3">
      <c r="A156" s="4">
        <v>352</v>
      </c>
      <c r="B156" s="5">
        <v>427.69785106860121</v>
      </c>
      <c r="C156" s="5">
        <v>398.93011480024546</v>
      </c>
      <c r="D156">
        <f t="shared" si="4"/>
        <v>1</v>
      </c>
    </row>
    <row r="157" spans="1:4" x14ac:dyDescent="0.3">
      <c r="A157" s="4">
        <v>355</v>
      </c>
      <c r="B157" s="5">
        <v>484.65879645203722</v>
      </c>
      <c r="C157" s="5">
        <v>478.33645062866105</v>
      </c>
      <c r="D157">
        <f t="shared" si="4"/>
        <v>1</v>
      </c>
    </row>
    <row r="158" spans="1:4" x14ac:dyDescent="0.3">
      <c r="A158" s="4">
        <v>358</v>
      </c>
      <c r="B158" s="5">
        <v>741.39498838162729</v>
      </c>
      <c r="C158" s="5">
        <v>730.43408597476571</v>
      </c>
      <c r="D158">
        <f t="shared" si="4"/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Spinner 1">
              <controlPr defaultSize="0" autoPict="0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14</xdr:col>
                    <xdr:colOff>182880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F98A8-E0F9-49EF-AE38-E2B7AB564495}">
  <sheetPr codeName="Sheet2"/>
  <dimension ref="A1:T54"/>
  <sheetViews>
    <sheetView tabSelected="1" zoomScale="85" zoomScaleNormal="85" workbookViewId="0">
      <selection activeCell="Q1" sqref="Q1"/>
    </sheetView>
  </sheetViews>
  <sheetFormatPr defaultRowHeight="14.4" x14ac:dyDescent="0.3"/>
  <cols>
    <col min="1" max="3" width="9" bestFit="1" customWidth="1"/>
    <col min="4" max="7" width="9.109375" bestFit="1" customWidth="1"/>
    <col min="8" max="10" width="10.33203125" bestFit="1" customWidth="1"/>
  </cols>
  <sheetData>
    <row r="1" spans="1:20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P1" t="s">
        <v>0</v>
      </c>
      <c r="Q1">
        <v>10</v>
      </c>
      <c r="T1" t="e" vm="1">
        <f ca="1">_xlfn.CONCAT("Curva de oferta para bid de ",M2," USD/MWh")</f>
        <v>#VALUE!</v>
      </c>
    </row>
    <row r="2" spans="1:20" x14ac:dyDescent="0.3">
      <c r="A2" s="2">
        <v>0</v>
      </c>
      <c r="B2" s="2">
        <v>0</v>
      </c>
      <c r="C2" s="2">
        <v>0</v>
      </c>
      <c r="D2" s="2">
        <v>6.7107200000000002</v>
      </c>
      <c r="E2" s="2">
        <v>24.432400000000001</v>
      </c>
      <c r="F2" s="2">
        <v>33.516300000000001</v>
      </c>
      <c r="G2" s="2">
        <v>42.940600000000003</v>
      </c>
      <c r="H2" s="2">
        <v>50.509500000000003</v>
      </c>
      <c r="I2" s="2">
        <v>58.282499999999999</v>
      </c>
      <c r="J2" s="2">
        <v>100</v>
      </c>
      <c r="K2" cm="1">
        <f t="array" aca="1" ref="K2:K25" ca="1">OFFSET(A2:A25,0,Q1-1)</f>
        <v>100</v>
      </c>
      <c r="M2" t="e" cm="1" vm="2">
        <f t="array" aca="1" ref="M2" ca="1">OFFSET(A2:A25,0,Q1-1)</f>
        <v>#VALUE!</v>
      </c>
      <c r="N2">
        <v>12.6631147540983</v>
      </c>
      <c r="Q2" t="s">
        <v>1</v>
      </c>
    </row>
    <row r="3" spans="1:20" x14ac:dyDescent="0.3">
      <c r="A3" s="2">
        <v>0</v>
      </c>
      <c r="B3" s="2">
        <v>0</v>
      </c>
      <c r="C3" s="2">
        <v>4.4352499999999999</v>
      </c>
      <c r="D3" s="2">
        <v>18.132400000000001</v>
      </c>
      <c r="E3" s="2">
        <v>27.651700000000002</v>
      </c>
      <c r="F3" s="2">
        <v>50.281100000000002</v>
      </c>
      <c r="G3" s="2">
        <v>58.898299999999999</v>
      </c>
      <c r="H3" s="2">
        <v>68.085999999999999</v>
      </c>
      <c r="I3" s="2">
        <v>96.0608</v>
      </c>
      <c r="J3" s="2">
        <v>100</v>
      </c>
      <c r="K3">
        <f ca="1"/>
        <v>100</v>
      </c>
      <c r="M3" t="e" vm="1">
        <f ca="1">M2</f>
        <v>#VALUE!</v>
      </c>
      <c r="N3">
        <v>10.0803278688524</v>
      </c>
    </row>
    <row r="4" spans="1:20" x14ac:dyDescent="0.3">
      <c r="A4" s="2">
        <v>0</v>
      </c>
      <c r="B4" s="2">
        <v>0</v>
      </c>
      <c r="C4" s="2">
        <v>7.6481700000000004</v>
      </c>
      <c r="D4" s="2">
        <v>25.099</v>
      </c>
      <c r="E4" s="2">
        <v>34.745399999999997</v>
      </c>
      <c r="F4" s="2">
        <v>47.619300000000003</v>
      </c>
      <c r="G4" s="2">
        <v>58.0627</v>
      </c>
      <c r="H4" s="2">
        <v>78.328000000000003</v>
      </c>
      <c r="I4" s="2">
        <v>100</v>
      </c>
      <c r="J4" s="2">
        <v>100</v>
      </c>
      <c r="K4">
        <f ca="1"/>
        <v>100</v>
      </c>
      <c r="M4" t="e" vm="1">
        <f t="shared" ref="M4:M25" ca="1" si="0">M3</f>
        <v>#VALUE!</v>
      </c>
      <c r="N4">
        <v>9.1278688524590095</v>
      </c>
    </row>
    <row r="5" spans="1:20" x14ac:dyDescent="0.3">
      <c r="A5" s="2">
        <v>0</v>
      </c>
      <c r="B5" s="2">
        <v>0</v>
      </c>
      <c r="C5" s="2">
        <v>2.6549700000000001</v>
      </c>
      <c r="D5" s="2">
        <v>12.8751</v>
      </c>
      <c r="E5" s="2">
        <v>25.872499999999999</v>
      </c>
      <c r="F5" s="2">
        <v>42.361199999999997</v>
      </c>
      <c r="G5" s="2">
        <v>48.711799999999997</v>
      </c>
      <c r="H5" s="2">
        <v>91.568899999999999</v>
      </c>
      <c r="I5" s="2">
        <v>100</v>
      </c>
      <c r="J5" s="2">
        <v>100</v>
      </c>
      <c r="K5">
        <f ca="1"/>
        <v>100</v>
      </c>
      <c r="M5" t="e" vm="1">
        <f t="shared" ca="1" si="0"/>
        <v>#VALUE!</v>
      </c>
      <c r="N5">
        <v>9.1647540983606604</v>
      </c>
    </row>
    <row r="6" spans="1:20" x14ac:dyDescent="0.3">
      <c r="A6" s="2">
        <v>0</v>
      </c>
      <c r="B6" s="2">
        <v>0</v>
      </c>
      <c r="C6" s="2">
        <v>0</v>
      </c>
      <c r="D6" s="2">
        <v>4.7183999999999999</v>
      </c>
      <c r="E6" s="2">
        <v>17.3521</v>
      </c>
      <c r="F6" s="2">
        <v>34.162300000000002</v>
      </c>
      <c r="G6" s="2">
        <v>45.179099999999998</v>
      </c>
      <c r="H6" s="2">
        <v>97.866699999999994</v>
      </c>
      <c r="I6" s="2">
        <v>100</v>
      </c>
      <c r="J6" s="2">
        <v>100</v>
      </c>
      <c r="K6">
        <f ca="1"/>
        <v>100</v>
      </c>
      <c r="M6" t="e" vm="1">
        <f t="shared" ca="1" si="0"/>
        <v>#VALUE!</v>
      </c>
      <c r="N6">
        <v>10.1426229508196</v>
      </c>
    </row>
    <row r="7" spans="1:20" x14ac:dyDescent="0.3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3.48102</v>
      </c>
      <c r="G7" s="2">
        <v>15.416700000000001</v>
      </c>
      <c r="H7" s="2">
        <v>28.675799999999999</v>
      </c>
      <c r="I7" s="2">
        <v>39.770600000000002</v>
      </c>
      <c r="J7" s="2">
        <v>77.011700000000005</v>
      </c>
      <c r="K7">
        <f ca="1"/>
        <v>77.011700000000005</v>
      </c>
      <c r="M7" t="e" vm="1">
        <f t="shared" ca="1" si="0"/>
        <v>#VALUE!</v>
      </c>
      <c r="N7">
        <v>14.980327868852401</v>
      </c>
    </row>
    <row r="8" spans="1:20" x14ac:dyDescent="0.3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8.1379400000000004</v>
      </c>
      <c r="I8" s="2">
        <v>17.2422</v>
      </c>
      <c r="J8" s="2">
        <v>27.4603</v>
      </c>
      <c r="K8">
        <f ca="1"/>
        <v>27.4603</v>
      </c>
      <c r="M8" t="e" vm="1">
        <f t="shared" ca="1" si="0"/>
        <v>#VALUE!</v>
      </c>
      <c r="N8">
        <v>19.362295081967201</v>
      </c>
    </row>
    <row r="9" spans="1:20" x14ac:dyDescent="0.3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5.0490300000000001</v>
      </c>
      <c r="I9" s="2">
        <v>19.881499999999999</v>
      </c>
      <c r="J9" s="2">
        <v>28.103000000000002</v>
      </c>
      <c r="K9">
        <f ca="1"/>
        <v>28.103000000000002</v>
      </c>
      <c r="M9" t="e" vm="1">
        <f t="shared" ca="1" si="0"/>
        <v>#VALUE!</v>
      </c>
      <c r="N9">
        <v>19.0975409836065</v>
      </c>
    </row>
    <row r="10" spans="1:20" x14ac:dyDescent="0.3">
      <c r="A10" s="2">
        <v>0</v>
      </c>
      <c r="B10" s="2">
        <v>0</v>
      </c>
      <c r="C10" s="2">
        <v>0</v>
      </c>
      <c r="D10" s="2">
        <v>0</v>
      </c>
      <c r="E10" s="2">
        <v>0</v>
      </c>
      <c r="F10" s="2">
        <v>5.3942100000000002</v>
      </c>
      <c r="G10" s="2">
        <v>11.307</v>
      </c>
      <c r="H10" s="2">
        <v>18.119</v>
      </c>
      <c r="I10" s="2">
        <v>35.702599999999997</v>
      </c>
      <c r="J10" s="2">
        <v>100</v>
      </c>
      <c r="K10">
        <f ca="1"/>
        <v>100</v>
      </c>
      <c r="M10" t="e" vm="1">
        <f t="shared" ca="1" si="0"/>
        <v>#VALUE!</v>
      </c>
      <c r="N10">
        <v>13.2122950819672</v>
      </c>
    </row>
    <row r="11" spans="1:20" x14ac:dyDescent="0.3">
      <c r="A11" s="2">
        <v>0</v>
      </c>
      <c r="B11" s="2">
        <v>0</v>
      </c>
      <c r="C11" s="2">
        <v>0</v>
      </c>
      <c r="D11" s="2">
        <v>0.63774799999999998</v>
      </c>
      <c r="E11" s="2">
        <v>5.7900900000000002</v>
      </c>
      <c r="F11" s="2">
        <v>11.8286</v>
      </c>
      <c r="G11" s="2">
        <v>20.700800000000001</v>
      </c>
      <c r="H11" s="2">
        <v>28.238499999999998</v>
      </c>
      <c r="I11" s="2">
        <v>100</v>
      </c>
      <c r="J11" s="2">
        <v>100</v>
      </c>
      <c r="K11">
        <f ca="1"/>
        <v>100</v>
      </c>
      <c r="M11" t="e" vm="1">
        <f t="shared" ca="1" si="0"/>
        <v>#VALUE!</v>
      </c>
      <c r="N11">
        <v>9.9442622950819608</v>
      </c>
    </row>
    <row r="12" spans="1:20" x14ac:dyDescent="0.3">
      <c r="A12" s="2">
        <v>0</v>
      </c>
      <c r="B12" s="2">
        <v>0</v>
      </c>
      <c r="C12" s="2">
        <v>0</v>
      </c>
      <c r="D12" s="2">
        <v>4.1338499999999998</v>
      </c>
      <c r="E12" s="2">
        <v>10.854699999999999</v>
      </c>
      <c r="F12" s="2">
        <v>19.751899999999999</v>
      </c>
      <c r="G12" s="2">
        <v>31.760400000000001</v>
      </c>
      <c r="H12" s="2">
        <v>100</v>
      </c>
      <c r="I12" s="2">
        <v>100</v>
      </c>
      <c r="J12" s="2">
        <v>100</v>
      </c>
      <c r="K12">
        <f ca="1"/>
        <v>100</v>
      </c>
      <c r="M12" t="e" vm="1">
        <f t="shared" ca="1" si="0"/>
        <v>#VALUE!</v>
      </c>
      <c r="N12">
        <v>8.3786885245901601</v>
      </c>
    </row>
    <row r="13" spans="1:20" x14ac:dyDescent="0.3">
      <c r="A13" s="2">
        <v>0</v>
      </c>
      <c r="B13" s="2">
        <v>0</v>
      </c>
      <c r="C13" s="2">
        <v>0</v>
      </c>
      <c r="D13" s="2">
        <v>6.6341000000000001</v>
      </c>
      <c r="E13" s="2">
        <v>17.221800000000002</v>
      </c>
      <c r="F13" s="2">
        <v>26.025200000000002</v>
      </c>
      <c r="G13" s="2">
        <v>41.590400000000002</v>
      </c>
      <c r="H13" s="2">
        <v>100</v>
      </c>
      <c r="I13" s="2">
        <v>100</v>
      </c>
      <c r="J13" s="2">
        <v>100</v>
      </c>
      <c r="K13">
        <f ca="1"/>
        <v>100</v>
      </c>
      <c r="M13" t="e" vm="1">
        <f t="shared" ca="1" si="0"/>
        <v>#VALUE!</v>
      </c>
      <c r="N13">
        <v>7.5909836065573799</v>
      </c>
    </row>
    <row r="14" spans="1:20" x14ac:dyDescent="0.3">
      <c r="A14" s="2">
        <v>0</v>
      </c>
      <c r="B14" s="2">
        <v>0</v>
      </c>
      <c r="C14" s="2">
        <v>0</v>
      </c>
      <c r="D14" s="2">
        <v>5.7818199999999997</v>
      </c>
      <c r="E14" s="2">
        <v>19.2546</v>
      </c>
      <c r="F14" s="2">
        <v>32.673699999999997</v>
      </c>
      <c r="G14" s="2">
        <v>42.8202</v>
      </c>
      <c r="H14" s="2">
        <v>100</v>
      </c>
      <c r="I14" s="2">
        <v>100</v>
      </c>
      <c r="J14" s="2">
        <v>100</v>
      </c>
      <c r="K14">
        <f ca="1"/>
        <v>100</v>
      </c>
      <c r="M14" t="e" vm="1">
        <f t="shared" ca="1" si="0"/>
        <v>#VALUE!</v>
      </c>
      <c r="N14">
        <v>7.5672131147540904</v>
      </c>
    </row>
    <row r="15" spans="1:20" x14ac:dyDescent="0.3">
      <c r="A15" s="2">
        <v>0</v>
      </c>
      <c r="B15" s="2">
        <v>0</v>
      </c>
      <c r="C15" s="2">
        <v>1.8882699999999999</v>
      </c>
      <c r="D15" s="2">
        <v>9.2314600000000002</v>
      </c>
      <c r="E15" s="2">
        <v>23.725200000000001</v>
      </c>
      <c r="F15" s="2">
        <v>34.736600000000003</v>
      </c>
      <c r="G15" s="2">
        <v>44.9542</v>
      </c>
      <c r="H15" s="2">
        <v>100</v>
      </c>
      <c r="I15" s="2">
        <v>100</v>
      </c>
      <c r="J15" s="2">
        <v>100</v>
      </c>
      <c r="K15">
        <f ca="1"/>
        <v>100</v>
      </c>
      <c r="M15" t="e" vm="1">
        <f t="shared" ca="1" si="0"/>
        <v>#VALUE!</v>
      </c>
      <c r="N15">
        <v>7.3655737704917996</v>
      </c>
    </row>
    <row r="16" spans="1:20" x14ac:dyDescent="0.3">
      <c r="A16" s="2">
        <v>0</v>
      </c>
      <c r="B16" s="2">
        <v>0</v>
      </c>
      <c r="C16" s="2">
        <v>3.0241699999999998</v>
      </c>
      <c r="D16" s="2">
        <v>12.696</v>
      </c>
      <c r="E16" s="2">
        <v>27.442699999999999</v>
      </c>
      <c r="F16" s="2">
        <v>40.851199999999999</v>
      </c>
      <c r="G16" s="2">
        <v>62.702500000000001</v>
      </c>
      <c r="H16" s="2">
        <v>100</v>
      </c>
      <c r="I16" s="2">
        <v>100</v>
      </c>
      <c r="J16" s="2">
        <v>100</v>
      </c>
      <c r="K16">
        <f ca="1"/>
        <v>100</v>
      </c>
      <c r="M16" t="e" vm="1">
        <f t="shared" ca="1" si="0"/>
        <v>#VALUE!</v>
      </c>
      <c r="N16">
        <v>7.0819672131147504</v>
      </c>
    </row>
    <row r="17" spans="1:18" x14ac:dyDescent="0.3">
      <c r="A17" s="2">
        <v>0</v>
      </c>
      <c r="B17" s="2">
        <v>0</v>
      </c>
      <c r="C17" s="2">
        <v>5.9660099999999998</v>
      </c>
      <c r="D17" s="2">
        <v>11.687200000000001</v>
      </c>
      <c r="E17" s="2">
        <v>25.5548</v>
      </c>
      <c r="F17" s="2">
        <v>36.461599999999997</v>
      </c>
      <c r="G17" s="2">
        <v>48.530299999999997</v>
      </c>
      <c r="H17" s="2">
        <v>100</v>
      </c>
      <c r="I17" s="2">
        <v>100</v>
      </c>
      <c r="J17" s="2">
        <v>100</v>
      </c>
      <c r="K17">
        <f ca="1"/>
        <v>100</v>
      </c>
      <c r="M17" t="e" vm="1">
        <f t="shared" ca="1" si="0"/>
        <v>#VALUE!</v>
      </c>
      <c r="N17">
        <v>7.0106557377049201</v>
      </c>
    </row>
    <row r="18" spans="1:18" x14ac:dyDescent="0.3">
      <c r="A18" s="2">
        <v>0</v>
      </c>
      <c r="B18" s="2">
        <v>0</v>
      </c>
      <c r="C18" s="2">
        <v>4.33073</v>
      </c>
      <c r="D18" s="2">
        <v>10.320600000000001</v>
      </c>
      <c r="E18" s="2">
        <v>18.5136</v>
      </c>
      <c r="F18" s="2">
        <v>28.676600000000001</v>
      </c>
      <c r="G18" s="2">
        <v>42.456099999999999</v>
      </c>
      <c r="H18" s="2">
        <v>70.850099999999998</v>
      </c>
      <c r="I18" s="2">
        <v>100</v>
      </c>
      <c r="J18" s="2">
        <v>100</v>
      </c>
      <c r="K18">
        <f ca="1"/>
        <v>100</v>
      </c>
      <c r="M18" t="e" vm="1">
        <f t="shared" ca="1" si="0"/>
        <v>#VALUE!</v>
      </c>
      <c r="N18">
        <v>8.6327868852459009</v>
      </c>
    </row>
    <row r="19" spans="1:18" x14ac:dyDescent="0.3">
      <c r="A19" s="2">
        <v>0</v>
      </c>
      <c r="B19" s="2">
        <v>0</v>
      </c>
      <c r="C19" s="2">
        <v>0</v>
      </c>
      <c r="D19" s="2">
        <v>0</v>
      </c>
      <c r="E19" s="2">
        <v>1.8079099999999999</v>
      </c>
      <c r="F19" s="2">
        <v>9.5966699999999996</v>
      </c>
      <c r="G19" s="2">
        <v>13.812200000000001</v>
      </c>
      <c r="H19" s="2">
        <v>26.7943</v>
      </c>
      <c r="I19" s="2">
        <v>36.082900000000002</v>
      </c>
      <c r="J19" s="2">
        <v>50.863900000000001</v>
      </c>
      <c r="K19">
        <f ca="1"/>
        <v>50.863900000000001</v>
      </c>
      <c r="M19" t="e" vm="1">
        <f t="shared" ca="1" si="0"/>
        <v>#VALUE!</v>
      </c>
      <c r="N19">
        <v>14.9459016393442</v>
      </c>
    </row>
    <row r="20" spans="1:18" x14ac:dyDescent="0.3">
      <c r="A20" s="2">
        <v>0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2.5829599999999999</v>
      </c>
      <c r="H20" s="2">
        <v>13.7248</v>
      </c>
      <c r="I20" s="2">
        <v>24.473199999999999</v>
      </c>
      <c r="J20" s="2">
        <v>30.257899999999999</v>
      </c>
      <c r="K20">
        <f ca="1"/>
        <v>30.257899999999999</v>
      </c>
      <c r="M20" t="e" vm="1">
        <f t="shared" ca="1" si="0"/>
        <v>#VALUE!</v>
      </c>
      <c r="N20">
        <v>19.0573770491803</v>
      </c>
    </row>
    <row r="21" spans="1:18" x14ac:dyDescent="0.3">
      <c r="A21" s="2">
        <v>0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4.8310500000000003</v>
      </c>
      <c r="I21" s="2">
        <v>10.420299999999999</v>
      </c>
      <c r="J21" s="2">
        <v>11.2315</v>
      </c>
      <c r="K21">
        <f ca="1"/>
        <v>11.2315</v>
      </c>
      <c r="M21" t="e" vm="1">
        <f t="shared" ca="1" si="0"/>
        <v>#VALUE!</v>
      </c>
      <c r="N21">
        <v>23.25</v>
      </c>
    </row>
    <row r="22" spans="1:18" x14ac:dyDescent="0.3">
      <c r="A22" s="2">
        <v>0</v>
      </c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2.9344999999999999</v>
      </c>
      <c r="H22" s="2">
        <v>6.7168900000000002</v>
      </c>
      <c r="I22" s="2">
        <v>16.946200000000001</v>
      </c>
      <c r="J22" s="2">
        <v>32.511800000000001</v>
      </c>
      <c r="K22">
        <f ca="1"/>
        <v>32.511800000000001</v>
      </c>
      <c r="M22" t="e" vm="1">
        <f t="shared" ca="1" si="0"/>
        <v>#VALUE!</v>
      </c>
      <c r="N22">
        <v>20.723770491803201</v>
      </c>
    </row>
    <row r="23" spans="1:18" x14ac:dyDescent="0.3">
      <c r="A23" s="2">
        <v>0</v>
      </c>
      <c r="B23" s="2">
        <v>0</v>
      </c>
      <c r="C23" s="2">
        <v>0</v>
      </c>
      <c r="D23" s="2">
        <v>0</v>
      </c>
      <c r="E23" s="2">
        <v>0</v>
      </c>
      <c r="F23" s="2">
        <v>3.3784900000000002</v>
      </c>
      <c r="G23" s="2">
        <v>10.5838</v>
      </c>
      <c r="H23" s="2">
        <v>28.541899999999998</v>
      </c>
      <c r="I23" s="2">
        <v>41.686700000000002</v>
      </c>
      <c r="J23" s="2">
        <v>52.912599999999998</v>
      </c>
      <c r="K23">
        <f ca="1"/>
        <v>52.912599999999998</v>
      </c>
      <c r="M23" t="e" vm="1">
        <f t="shared" ca="1" si="0"/>
        <v>#VALUE!</v>
      </c>
      <c r="N23">
        <v>14.955737704918</v>
      </c>
      <c r="R23" s="1"/>
    </row>
    <row r="24" spans="1:18" x14ac:dyDescent="0.3">
      <c r="A24" s="2">
        <v>0</v>
      </c>
      <c r="B24" s="2">
        <v>0</v>
      </c>
      <c r="C24" s="2">
        <v>0</v>
      </c>
      <c r="D24" s="2">
        <v>0.78686100000000003</v>
      </c>
      <c r="E24" s="2">
        <v>10.6531</v>
      </c>
      <c r="F24" s="2">
        <v>17.041799999999999</v>
      </c>
      <c r="G24" s="2">
        <v>27.692399999999999</v>
      </c>
      <c r="H24" s="2">
        <v>44.668900000000001</v>
      </c>
      <c r="I24" s="2">
        <v>68.052700000000002</v>
      </c>
      <c r="J24" s="2">
        <v>100</v>
      </c>
      <c r="K24">
        <f ca="1"/>
        <v>100</v>
      </c>
      <c r="M24" t="e" vm="1">
        <f t="shared" ca="1" si="0"/>
        <v>#VALUE!</v>
      </c>
      <c r="N24">
        <v>12.072131147540899</v>
      </c>
      <c r="R24" s="1"/>
    </row>
    <row r="25" spans="1:18" x14ac:dyDescent="0.3">
      <c r="A25" s="2">
        <v>0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7.6587899999999998</v>
      </c>
      <c r="J25" s="2">
        <v>24.9254</v>
      </c>
      <c r="K25">
        <f ca="1"/>
        <v>24.9254</v>
      </c>
      <c r="M25" t="e" vm="1">
        <f t="shared" ca="1" si="0"/>
        <v>#VALUE!</v>
      </c>
      <c r="N25">
        <v>22.872950819672099</v>
      </c>
      <c r="R25" s="1"/>
    </row>
    <row r="26" spans="1:18" x14ac:dyDescent="0.3">
      <c r="R26" s="1"/>
    </row>
    <row r="27" spans="1:18" x14ac:dyDescent="0.3">
      <c r="R27" s="1"/>
    </row>
    <row r="28" spans="1:18" x14ac:dyDescent="0.3">
      <c r="A28" t="s">
        <v>2</v>
      </c>
      <c r="R28" s="1"/>
    </row>
    <row r="29" spans="1:18" x14ac:dyDescent="0.3">
      <c r="A29">
        <v>-3.1</v>
      </c>
      <c r="B29">
        <v>0.5</v>
      </c>
      <c r="C29">
        <v>2.1</v>
      </c>
      <c r="D29">
        <v>4.7</v>
      </c>
      <c r="E29">
        <v>7.3</v>
      </c>
      <c r="F29">
        <v>10</v>
      </c>
      <c r="G29">
        <v>12.6</v>
      </c>
      <c r="H29">
        <v>15.2</v>
      </c>
      <c r="I29">
        <v>17.8</v>
      </c>
      <c r="J29">
        <v>20.399999999999999</v>
      </c>
      <c r="R29" s="1"/>
    </row>
    <row r="30" spans="1:18" x14ac:dyDescent="0.3">
      <c r="A30" t="str" cm="1">
        <f t="array" ref="A30:J30">" "&amp;A29:J29</f>
        <v xml:space="preserve"> -3.1</v>
      </c>
      <c r="B30" t="str">
        <v xml:space="preserve"> 0.5</v>
      </c>
      <c r="C30" t="str">
        <v xml:space="preserve"> 2.1</v>
      </c>
      <c r="D30" t="str">
        <v xml:space="preserve"> 4.7</v>
      </c>
      <c r="E30" t="str">
        <v xml:space="preserve"> 7.3</v>
      </c>
      <c r="F30" t="str">
        <v xml:space="preserve"> 10</v>
      </c>
      <c r="G30" t="str">
        <v xml:space="preserve"> 12.6</v>
      </c>
      <c r="H30" t="str">
        <v xml:space="preserve"> 15.2</v>
      </c>
      <c r="I30" t="str">
        <v xml:space="preserve"> 17.8</v>
      </c>
      <c r="J30" t="str">
        <v xml:space="preserve"> 20.4</v>
      </c>
      <c r="R30" s="1"/>
    </row>
    <row r="31" spans="1:18" x14ac:dyDescent="0.3">
      <c r="A31" s="2" cm="1">
        <f t="array" ref="A31:A54">A2:A25</f>
        <v>0</v>
      </c>
      <c r="B31" cm="1">
        <f t="array" ref="B31:B54">B2:B25-A2:A25</f>
        <v>0</v>
      </c>
      <c r="C31" cm="1">
        <f t="array" ref="C31:C54">C2:C25-B2:B25</f>
        <v>0</v>
      </c>
      <c r="D31" cm="1">
        <f t="array" ref="D31:D54">D2:D25-C2:C25</f>
        <v>6.7107200000000002</v>
      </c>
      <c r="E31" cm="1">
        <f t="array" ref="E31:E54">E2:E25-D2:D25</f>
        <v>17.721679999999999</v>
      </c>
      <c r="F31" cm="1">
        <f t="array" ref="F31:F54">F2:F25-E2:E25</f>
        <v>9.0838999999999999</v>
      </c>
      <c r="G31" cm="1">
        <f t="array" ref="G31:G54">G2:G25-F2:F25</f>
        <v>9.4243000000000023</v>
      </c>
      <c r="H31" cm="1">
        <f t="array" ref="H31:H54">H2:H25-G2:G25</f>
        <v>7.5688999999999993</v>
      </c>
      <c r="I31" cm="1">
        <f t="array" ref="I31:I54">I2:I25-H2:H25</f>
        <v>7.7729999999999961</v>
      </c>
      <c r="J31" s="2" cm="1">
        <f t="array" ref="J31:J54">J2:J25-I2:I25</f>
        <v>41.717500000000001</v>
      </c>
      <c r="R31" s="1"/>
    </row>
    <row r="32" spans="1:18" x14ac:dyDescent="0.3">
      <c r="A32">
        <v>0</v>
      </c>
      <c r="B32">
        <v>0</v>
      </c>
      <c r="C32">
        <v>4.4352499999999999</v>
      </c>
      <c r="D32">
        <v>13.697150000000001</v>
      </c>
      <c r="E32">
        <v>9.5193000000000012</v>
      </c>
      <c r="F32">
        <v>22.6294</v>
      </c>
      <c r="G32">
        <v>8.6171999999999969</v>
      </c>
      <c r="H32">
        <v>9.1876999999999995</v>
      </c>
      <c r="I32">
        <v>27.974800000000002</v>
      </c>
      <c r="J32">
        <v>3.9391999999999996</v>
      </c>
      <c r="R32" s="1"/>
    </row>
    <row r="33" spans="1:18" x14ac:dyDescent="0.3">
      <c r="A33">
        <v>0</v>
      </c>
      <c r="B33">
        <v>0</v>
      </c>
      <c r="C33">
        <v>7.6481700000000004</v>
      </c>
      <c r="D33">
        <v>17.45083</v>
      </c>
      <c r="E33">
        <v>9.6463999999999963</v>
      </c>
      <c r="F33">
        <v>12.873900000000006</v>
      </c>
      <c r="G33">
        <v>10.443399999999997</v>
      </c>
      <c r="H33">
        <v>20.265300000000003</v>
      </c>
      <c r="I33">
        <v>21.671999999999997</v>
      </c>
      <c r="J33">
        <v>0</v>
      </c>
      <c r="R33" s="1"/>
    </row>
    <row r="34" spans="1:18" x14ac:dyDescent="0.3">
      <c r="A34">
        <v>0</v>
      </c>
      <c r="B34">
        <v>0</v>
      </c>
      <c r="C34">
        <v>2.6549700000000001</v>
      </c>
      <c r="D34">
        <v>10.220129999999999</v>
      </c>
      <c r="E34">
        <v>12.997399999999999</v>
      </c>
      <c r="F34">
        <v>16.488699999999998</v>
      </c>
      <c r="G34">
        <v>6.3506</v>
      </c>
      <c r="H34">
        <v>42.857100000000003</v>
      </c>
      <c r="I34">
        <v>8.4311000000000007</v>
      </c>
      <c r="J34">
        <v>0</v>
      </c>
      <c r="R34" s="1"/>
    </row>
    <row r="35" spans="1:18" x14ac:dyDescent="0.3">
      <c r="A35">
        <v>0</v>
      </c>
      <c r="B35">
        <v>0</v>
      </c>
      <c r="C35">
        <v>0</v>
      </c>
      <c r="D35">
        <v>4.7183999999999999</v>
      </c>
      <c r="E35">
        <v>12.633700000000001</v>
      </c>
      <c r="F35">
        <v>16.810200000000002</v>
      </c>
      <c r="G35">
        <v>11.016799999999996</v>
      </c>
      <c r="H35">
        <v>52.687599999999996</v>
      </c>
      <c r="I35">
        <v>2.1333000000000055</v>
      </c>
      <c r="J35">
        <v>0</v>
      </c>
      <c r="R35" s="1"/>
    </row>
    <row r="36" spans="1:18" x14ac:dyDescent="0.3">
      <c r="A36">
        <v>0</v>
      </c>
      <c r="B36">
        <v>0</v>
      </c>
      <c r="C36">
        <v>0</v>
      </c>
      <c r="D36">
        <v>0</v>
      </c>
      <c r="E36">
        <v>0</v>
      </c>
      <c r="F36">
        <v>3.48102</v>
      </c>
      <c r="G36">
        <v>11.935680000000001</v>
      </c>
      <c r="H36">
        <v>13.259099999999998</v>
      </c>
      <c r="I36">
        <v>11.094800000000003</v>
      </c>
      <c r="J36">
        <v>37.241100000000003</v>
      </c>
      <c r="R36" s="1"/>
    </row>
    <row r="37" spans="1:18" x14ac:dyDescent="0.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8.1379400000000004</v>
      </c>
      <c r="I37">
        <v>9.10426</v>
      </c>
      <c r="J37">
        <v>10.2181</v>
      </c>
      <c r="R37" s="1"/>
    </row>
    <row r="38" spans="1:18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5.0490300000000001</v>
      </c>
      <c r="I38">
        <v>14.832469999999999</v>
      </c>
      <c r="J38">
        <v>8.2215000000000025</v>
      </c>
      <c r="R38" s="1"/>
    </row>
    <row r="39" spans="1:18" x14ac:dyDescent="0.3">
      <c r="A39">
        <v>0</v>
      </c>
      <c r="B39">
        <v>0</v>
      </c>
      <c r="C39">
        <v>0</v>
      </c>
      <c r="D39">
        <v>0</v>
      </c>
      <c r="E39">
        <v>0</v>
      </c>
      <c r="F39">
        <v>5.3942100000000002</v>
      </c>
      <c r="G39">
        <v>5.9127900000000002</v>
      </c>
      <c r="H39">
        <v>6.8119999999999994</v>
      </c>
      <c r="I39">
        <v>17.583599999999997</v>
      </c>
      <c r="J39">
        <v>64.29740000000001</v>
      </c>
      <c r="R39" s="1"/>
    </row>
    <row r="40" spans="1:18" x14ac:dyDescent="0.3">
      <c r="A40">
        <v>0</v>
      </c>
      <c r="B40">
        <v>0</v>
      </c>
      <c r="C40">
        <v>0</v>
      </c>
      <c r="D40">
        <v>0.63774799999999998</v>
      </c>
      <c r="E40">
        <v>5.152342</v>
      </c>
      <c r="F40">
        <v>6.0385099999999996</v>
      </c>
      <c r="G40">
        <v>8.8722000000000012</v>
      </c>
      <c r="H40">
        <v>7.5376999999999974</v>
      </c>
      <c r="I40">
        <v>71.761499999999998</v>
      </c>
      <c r="J40">
        <v>0</v>
      </c>
      <c r="R40" s="1"/>
    </row>
    <row r="41" spans="1:18" x14ac:dyDescent="0.3">
      <c r="A41">
        <v>0</v>
      </c>
      <c r="B41">
        <v>0</v>
      </c>
      <c r="C41">
        <v>0</v>
      </c>
      <c r="D41">
        <v>4.1338499999999998</v>
      </c>
      <c r="E41">
        <v>6.7208499999999995</v>
      </c>
      <c r="F41">
        <v>8.8971999999999998</v>
      </c>
      <c r="G41">
        <v>12.008500000000002</v>
      </c>
      <c r="H41">
        <v>68.239599999999996</v>
      </c>
      <c r="I41">
        <v>0</v>
      </c>
      <c r="J41">
        <v>0</v>
      </c>
      <c r="R41" s="1"/>
    </row>
    <row r="42" spans="1:18" x14ac:dyDescent="0.3">
      <c r="A42">
        <v>0</v>
      </c>
      <c r="B42">
        <v>0</v>
      </c>
      <c r="C42">
        <v>0</v>
      </c>
      <c r="D42">
        <v>6.6341000000000001</v>
      </c>
      <c r="E42">
        <v>10.587700000000002</v>
      </c>
      <c r="F42">
        <v>8.8033999999999999</v>
      </c>
      <c r="G42">
        <v>15.565200000000001</v>
      </c>
      <c r="H42">
        <v>58.409599999999998</v>
      </c>
      <c r="I42">
        <v>0</v>
      </c>
      <c r="J42">
        <v>0</v>
      </c>
      <c r="R42" s="1"/>
    </row>
    <row r="43" spans="1:18" x14ac:dyDescent="0.3">
      <c r="A43">
        <v>0</v>
      </c>
      <c r="B43">
        <v>0</v>
      </c>
      <c r="C43">
        <v>0</v>
      </c>
      <c r="D43">
        <v>5.7818199999999997</v>
      </c>
      <c r="E43">
        <v>13.47278</v>
      </c>
      <c r="F43">
        <v>13.419099999999997</v>
      </c>
      <c r="G43">
        <v>10.146500000000003</v>
      </c>
      <c r="H43">
        <v>57.1798</v>
      </c>
      <c r="I43">
        <v>0</v>
      </c>
      <c r="J43">
        <v>0</v>
      </c>
      <c r="R43" s="1"/>
    </row>
    <row r="44" spans="1:18" x14ac:dyDescent="0.3">
      <c r="A44">
        <v>0</v>
      </c>
      <c r="B44">
        <v>0</v>
      </c>
      <c r="C44">
        <v>1.8882699999999999</v>
      </c>
      <c r="D44">
        <v>7.3431899999999999</v>
      </c>
      <c r="E44">
        <v>14.493740000000001</v>
      </c>
      <c r="F44">
        <v>11.011400000000002</v>
      </c>
      <c r="G44">
        <v>10.217599999999997</v>
      </c>
      <c r="H44">
        <v>55.0458</v>
      </c>
      <c r="I44">
        <v>0</v>
      </c>
      <c r="J44">
        <v>0</v>
      </c>
      <c r="R44" s="1"/>
    </row>
    <row r="45" spans="1:18" x14ac:dyDescent="0.3">
      <c r="A45">
        <v>0</v>
      </c>
      <c r="B45">
        <v>0</v>
      </c>
      <c r="C45">
        <v>3.0241699999999998</v>
      </c>
      <c r="D45">
        <v>9.6718299999999999</v>
      </c>
      <c r="E45">
        <v>14.746699999999999</v>
      </c>
      <c r="F45">
        <v>13.4085</v>
      </c>
      <c r="G45">
        <v>21.851300000000002</v>
      </c>
      <c r="H45">
        <v>37.297499999999999</v>
      </c>
      <c r="I45">
        <v>0</v>
      </c>
      <c r="J45">
        <v>0</v>
      </c>
      <c r="R45" s="1"/>
    </row>
    <row r="46" spans="1:18" x14ac:dyDescent="0.3">
      <c r="A46">
        <v>0</v>
      </c>
      <c r="B46">
        <v>0</v>
      </c>
      <c r="C46">
        <v>5.9660099999999998</v>
      </c>
      <c r="D46">
        <v>5.7211900000000009</v>
      </c>
      <c r="E46">
        <v>13.867599999999999</v>
      </c>
      <c r="F46">
        <v>10.906799999999997</v>
      </c>
      <c r="G46">
        <v>12.0687</v>
      </c>
      <c r="H46">
        <v>51.469700000000003</v>
      </c>
      <c r="I46">
        <v>0</v>
      </c>
      <c r="J46">
        <v>0</v>
      </c>
      <c r="R46" s="1"/>
    </row>
    <row r="47" spans="1:18" x14ac:dyDescent="0.3">
      <c r="A47">
        <v>0</v>
      </c>
      <c r="B47">
        <v>0</v>
      </c>
      <c r="C47">
        <v>4.33073</v>
      </c>
      <c r="D47">
        <v>5.9898700000000007</v>
      </c>
      <c r="E47">
        <v>8.1929999999999996</v>
      </c>
      <c r="F47">
        <v>10.163</v>
      </c>
      <c r="G47">
        <v>13.779499999999999</v>
      </c>
      <c r="H47">
        <v>28.393999999999998</v>
      </c>
      <c r="I47">
        <v>29.149900000000002</v>
      </c>
      <c r="J47">
        <v>0</v>
      </c>
    </row>
    <row r="48" spans="1:18" x14ac:dyDescent="0.3">
      <c r="A48">
        <v>0</v>
      </c>
      <c r="B48">
        <v>0</v>
      </c>
      <c r="C48">
        <v>0</v>
      </c>
      <c r="D48">
        <v>0</v>
      </c>
      <c r="E48">
        <v>1.8079099999999999</v>
      </c>
      <c r="F48">
        <v>7.7887599999999999</v>
      </c>
      <c r="G48">
        <v>4.2155300000000011</v>
      </c>
      <c r="H48">
        <v>12.982099999999999</v>
      </c>
      <c r="I48">
        <v>9.2886000000000024</v>
      </c>
      <c r="J48">
        <v>14.780999999999999</v>
      </c>
    </row>
    <row r="49" spans="1:10" x14ac:dyDescent="0.3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2.5829599999999999</v>
      </c>
      <c r="H49">
        <v>11.14184</v>
      </c>
      <c r="I49">
        <v>10.748399999999998</v>
      </c>
      <c r="J49">
        <v>5.7847000000000008</v>
      </c>
    </row>
    <row r="50" spans="1:10" x14ac:dyDescent="0.3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4.8310500000000003</v>
      </c>
      <c r="I50">
        <v>5.5892499999999989</v>
      </c>
      <c r="J50">
        <v>0.81120000000000125</v>
      </c>
    </row>
    <row r="51" spans="1:10" x14ac:dyDescent="0.3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2.9344999999999999</v>
      </c>
      <c r="H51">
        <v>3.7823900000000004</v>
      </c>
      <c r="I51">
        <v>10.229310000000002</v>
      </c>
      <c r="J51">
        <v>15.5656</v>
      </c>
    </row>
    <row r="52" spans="1:10" x14ac:dyDescent="0.3">
      <c r="A52">
        <v>0</v>
      </c>
      <c r="B52">
        <v>0</v>
      </c>
      <c r="C52">
        <v>0</v>
      </c>
      <c r="D52">
        <v>0</v>
      </c>
      <c r="E52">
        <v>0</v>
      </c>
      <c r="F52">
        <v>3.3784900000000002</v>
      </c>
      <c r="G52">
        <v>7.2053099999999999</v>
      </c>
      <c r="H52">
        <v>17.958099999999998</v>
      </c>
      <c r="I52">
        <v>13.144800000000004</v>
      </c>
      <c r="J52">
        <v>11.225899999999996</v>
      </c>
    </row>
    <row r="53" spans="1:10" x14ac:dyDescent="0.3">
      <c r="A53">
        <v>0</v>
      </c>
      <c r="B53">
        <v>0</v>
      </c>
      <c r="C53">
        <v>0</v>
      </c>
      <c r="D53">
        <v>0.78686100000000003</v>
      </c>
      <c r="E53">
        <v>9.8662390000000002</v>
      </c>
      <c r="F53">
        <v>6.3886999999999983</v>
      </c>
      <c r="G53">
        <v>10.650600000000001</v>
      </c>
      <c r="H53">
        <v>16.976500000000001</v>
      </c>
      <c r="I53">
        <v>23.383800000000001</v>
      </c>
      <c r="J53">
        <v>31.947299999999998</v>
      </c>
    </row>
    <row r="54" spans="1:10" x14ac:dyDescent="0.3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7.6587899999999998</v>
      </c>
      <c r="J54">
        <v>17.26661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DAE33-5B7C-4D6B-8694-B3961DA8282E}">
  <sheetPr codeName="Sheet3"/>
  <dimension ref="A1:T46"/>
  <sheetViews>
    <sheetView zoomScale="115" zoomScaleNormal="115" workbookViewId="0">
      <selection activeCell="A29" sqref="A29"/>
    </sheetView>
  </sheetViews>
  <sheetFormatPr defaultRowHeight="14.4" x14ac:dyDescent="0.3"/>
  <cols>
    <col min="1" max="3" width="9" bestFit="1" customWidth="1"/>
    <col min="4" max="7" width="9.109375" bestFit="1" customWidth="1"/>
    <col min="8" max="10" width="10.33203125" bestFit="1" customWidth="1"/>
  </cols>
  <sheetData>
    <row r="1" spans="1:20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P1" t="s">
        <v>0</v>
      </c>
      <c r="Q1">
        <v>5</v>
      </c>
      <c r="T1" t="str">
        <f>_xlfn.CONCAT("Curva de oferta para bid de ",M2," USD/MWh")</f>
        <v>Curva de oferta para bid de 40 USD/MWh</v>
      </c>
    </row>
    <row r="2" spans="1:20" x14ac:dyDescent="0.3">
      <c r="A2" s="2">
        <v>49.889846289808432</v>
      </c>
      <c r="B2" s="2">
        <v>60.333846944016443</v>
      </c>
      <c r="C2" s="2">
        <v>85.186219120416524</v>
      </c>
      <c r="D2" s="2">
        <v>100</v>
      </c>
      <c r="E2" s="2">
        <v>100</v>
      </c>
      <c r="F2" s="2">
        <v>100</v>
      </c>
      <c r="G2" s="2">
        <v>100</v>
      </c>
      <c r="H2" s="2">
        <v>100</v>
      </c>
      <c r="I2" s="2">
        <v>100</v>
      </c>
      <c r="J2" s="2">
        <v>100</v>
      </c>
      <c r="K2" cm="1">
        <f t="array" aca="1" ref="K2:K25" ca="1">OFFSET(A2:A25,0,Q1-1)</f>
        <v>100</v>
      </c>
      <c r="M2">
        <f>(Q1*10)-10</f>
        <v>40</v>
      </c>
      <c r="N2">
        <v>22.891735537190076</v>
      </c>
      <c r="Q2" t="s">
        <v>1</v>
      </c>
    </row>
    <row r="3" spans="1:20" x14ac:dyDescent="0.3">
      <c r="A3" s="2">
        <v>57.775510915812234</v>
      </c>
      <c r="B3" s="2">
        <v>100</v>
      </c>
      <c r="C3" s="2">
        <v>100</v>
      </c>
      <c r="D3" s="2">
        <v>100</v>
      </c>
      <c r="E3" s="2">
        <v>100</v>
      </c>
      <c r="F3" s="2">
        <v>100</v>
      </c>
      <c r="G3" s="2">
        <v>100</v>
      </c>
      <c r="H3" s="2">
        <v>100</v>
      </c>
      <c r="I3" s="2">
        <v>100</v>
      </c>
      <c r="J3" s="2">
        <v>100</v>
      </c>
      <c r="K3">
        <f ca="1"/>
        <v>100</v>
      </c>
      <c r="M3">
        <f>M2</f>
        <v>40</v>
      </c>
      <c r="N3">
        <v>21.84049586776861</v>
      </c>
    </row>
    <row r="4" spans="1:20" x14ac:dyDescent="0.3">
      <c r="A4" s="2">
        <v>54.261042167474059</v>
      </c>
      <c r="B4" s="2">
        <v>89.626870304836402</v>
      </c>
      <c r="C4" s="2">
        <v>100</v>
      </c>
      <c r="D4" s="2">
        <v>100</v>
      </c>
      <c r="E4" s="2">
        <v>100</v>
      </c>
      <c r="F4" s="2">
        <v>100</v>
      </c>
      <c r="G4" s="2">
        <v>100</v>
      </c>
      <c r="H4" s="2">
        <v>100</v>
      </c>
      <c r="I4" s="2">
        <v>100</v>
      </c>
      <c r="J4" s="2">
        <v>100</v>
      </c>
      <c r="K4">
        <f ca="1"/>
        <v>100</v>
      </c>
      <c r="M4">
        <f t="shared" ref="M4:M25" si="0">M3</f>
        <v>40</v>
      </c>
      <c r="N4">
        <v>22.103305785123972</v>
      </c>
    </row>
    <row r="5" spans="1:20" x14ac:dyDescent="0.3">
      <c r="A5" s="2">
        <v>42.735875706214692</v>
      </c>
      <c r="B5" s="2">
        <v>81.317858020142467</v>
      </c>
      <c r="C5" s="2">
        <v>100</v>
      </c>
      <c r="D5" s="2">
        <v>100</v>
      </c>
      <c r="E5" s="2">
        <v>100</v>
      </c>
      <c r="F5" s="2">
        <v>100</v>
      </c>
      <c r="G5" s="2">
        <v>100</v>
      </c>
      <c r="H5" s="2">
        <v>100</v>
      </c>
      <c r="I5" s="2">
        <v>100</v>
      </c>
      <c r="J5" s="2">
        <v>100</v>
      </c>
      <c r="K5">
        <f ca="1"/>
        <v>100</v>
      </c>
      <c r="M5">
        <f t="shared" si="0"/>
        <v>40</v>
      </c>
      <c r="N5">
        <v>22.734710743801649</v>
      </c>
    </row>
    <row r="6" spans="1:20" x14ac:dyDescent="0.3">
      <c r="A6" s="2">
        <v>28.87947269303201</v>
      </c>
      <c r="B6" s="2">
        <v>38.628142418382438</v>
      </c>
      <c r="C6" s="2">
        <v>65.045865986270613</v>
      </c>
      <c r="D6" s="2">
        <v>100</v>
      </c>
      <c r="E6" s="2">
        <v>100</v>
      </c>
      <c r="F6" s="2">
        <v>100</v>
      </c>
      <c r="G6" s="2">
        <v>100</v>
      </c>
      <c r="H6" s="2">
        <v>100</v>
      </c>
      <c r="I6" s="2">
        <v>100</v>
      </c>
      <c r="J6" s="2">
        <v>100</v>
      </c>
      <c r="K6">
        <f ca="1"/>
        <v>100</v>
      </c>
      <c r="M6">
        <f t="shared" si="0"/>
        <v>40</v>
      </c>
      <c r="N6">
        <v>23.064462809917355</v>
      </c>
    </row>
    <row r="7" spans="1:20" x14ac:dyDescent="0.3">
      <c r="A7" s="2">
        <v>4.4922144136695596</v>
      </c>
      <c r="B7" s="2">
        <v>17.564344005021976</v>
      </c>
      <c r="C7" s="2">
        <v>24.060263653483993</v>
      </c>
      <c r="D7" s="2">
        <v>34.770781918184468</v>
      </c>
      <c r="E7" s="2">
        <v>51.99004385445064</v>
      </c>
      <c r="F7" s="2">
        <v>100</v>
      </c>
      <c r="G7" s="2">
        <v>100</v>
      </c>
      <c r="H7" s="2">
        <v>100</v>
      </c>
      <c r="I7" s="2">
        <v>100</v>
      </c>
      <c r="J7" s="2">
        <v>100</v>
      </c>
      <c r="K7">
        <f ca="1"/>
        <v>51.99004385445064</v>
      </c>
      <c r="M7">
        <f t="shared" si="0"/>
        <v>40</v>
      </c>
      <c r="N7">
        <v>25.722314049586767</v>
      </c>
    </row>
    <row r="8" spans="1:20" x14ac:dyDescent="0.3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11.989100039947498</v>
      </c>
      <c r="G8" s="2">
        <v>14.526692417464547</v>
      </c>
      <c r="H8" s="2">
        <v>28.061859618883467</v>
      </c>
      <c r="I8" s="2">
        <v>47.825016570400535</v>
      </c>
      <c r="J8" s="2">
        <v>62.638798843300115</v>
      </c>
      <c r="K8">
        <f ca="1"/>
        <v>0</v>
      </c>
      <c r="M8">
        <f t="shared" si="0"/>
        <v>40</v>
      </c>
      <c r="N8">
        <v>31.511570247933882</v>
      </c>
    </row>
    <row r="9" spans="1:20" x14ac:dyDescent="0.3">
      <c r="A9" s="2">
        <v>0</v>
      </c>
      <c r="B9" s="2">
        <v>0</v>
      </c>
      <c r="C9" s="2">
        <v>0</v>
      </c>
      <c r="D9" s="2">
        <v>0.15571659579565092</v>
      </c>
      <c r="E9" s="2">
        <v>3.2810052969442349</v>
      </c>
      <c r="F9" s="2">
        <v>3.2893910860012494</v>
      </c>
      <c r="G9" s="2">
        <v>9.1085813868510552</v>
      </c>
      <c r="H9" s="2">
        <v>14.411125597566276</v>
      </c>
      <c r="I9" s="2">
        <v>18.419377881680628</v>
      </c>
      <c r="J9" s="2">
        <v>35.189788658715194</v>
      </c>
      <c r="K9">
        <f ca="1"/>
        <v>3.2810052969442349</v>
      </c>
      <c r="M9">
        <f t="shared" si="0"/>
        <v>40</v>
      </c>
      <c r="N9">
        <v>32.103305785123972</v>
      </c>
    </row>
    <row r="10" spans="1:20" x14ac:dyDescent="0.3">
      <c r="A10" s="2">
        <v>8.3716049817744747</v>
      </c>
      <c r="B10" s="2">
        <v>11.770244821092277</v>
      </c>
      <c r="C10" s="2">
        <v>21.139492321158592</v>
      </c>
      <c r="D10" s="2">
        <v>36.743401635888361</v>
      </c>
      <c r="E10" s="2">
        <v>44.260936116055689</v>
      </c>
      <c r="F10" s="2">
        <v>73.254933461857718</v>
      </c>
      <c r="G10" s="2">
        <v>98.595641646489128</v>
      </c>
      <c r="H10" s="2">
        <v>100</v>
      </c>
      <c r="I10" s="2">
        <v>100</v>
      </c>
      <c r="J10" s="2">
        <v>100</v>
      </c>
      <c r="K10">
        <f ca="1"/>
        <v>44.260936116055689</v>
      </c>
      <c r="M10">
        <f t="shared" si="0"/>
        <v>40</v>
      </c>
      <c r="N10">
        <v>25.410743801652895</v>
      </c>
    </row>
    <row r="11" spans="1:20" x14ac:dyDescent="0.3">
      <c r="A11" s="2">
        <v>45.606836001690205</v>
      </c>
      <c r="B11" s="2">
        <v>52.600232399727531</v>
      </c>
      <c r="C11" s="2">
        <v>100</v>
      </c>
      <c r="D11" s="2">
        <v>100</v>
      </c>
      <c r="E11" s="2">
        <v>100</v>
      </c>
      <c r="F11" s="2">
        <v>100</v>
      </c>
      <c r="G11" s="2">
        <v>100</v>
      </c>
      <c r="H11" s="2">
        <v>100</v>
      </c>
      <c r="I11" s="2">
        <v>100</v>
      </c>
      <c r="J11" s="2">
        <v>100</v>
      </c>
      <c r="K11">
        <f ca="1"/>
        <v>100</v>
      </c>
      <c r="M11">
        <f t="shared" si="0"/>
        <v>40</v>
      </c>
      <c r="N11">
        <v>22.517355371900823</v>
      </c>
    </row>
    <row r="12" spans="1:20" x14ac:dyDescent="0.3">
      <c r="A12" s="2">
        <v>48.950559798017409</v>
      </c>
      <c r="B12" s="2">
        <v>89.673964218455751</v>
      </c>
      <c r="C12" s="2">
        <v>100</v>
      </c>
      <c r="D12" s="2">
        <v>100</v>
      </c>
      <c r="E12" s="2">
        <v>100</v>
      </c>
      <c r="F12" s="2">
        <v>100</v>
      </c>
      <c r="G12" s="2">
        <v>100</v>
      </c>
      <c r="H12" s="2">
        <v>100</v>
      </c>
      <c r="I12" s="2">
        <v>100</v>
      </c>
      <c r="J12" s="2">
        <v>100</v>
      </c>
      <c r="K12">
        <f ca="1"/>
        <v>100</v>
      </c>
      <c r="M12">
        <f t="shared" si="0"/>
        <v>40</v>
      </c>
      <c r="N12">
        <v>22.386776859504131</v>
      </c>
    </row>
    <row r="13" spans="1:20" x14ac:dyDescent="0.3">
      <c r="A13" s="2">
        <v>8.1365232149915148</v>
      </c>
      <c r="B13" s="2">
        <v>14.360231673950892</v>
      </c>
      <c r="C13" s="2">
        <v>23.382001311919417</v>
      </c>
      <c r="D13" s="2">
        <v>85.863151286880154</v>
      </c>
      <c r="E13" s="2">
        <v>100</v>
      </c>
      <c r="F13" s="2">
        <v>100</v>
      </c>
      <c r="G13" s="2">
        <v>100</v>
      </c>
      <c r="H13" s="2">
        <v>100</v>
      </c>
      <c r="I13" s="2">
        <v>100</v>
      </c>
      <c r="J13" s="2">
        <v>100</v>
      </c>
      <c r="K13">
        <f ca="1"/>
        <v>100</v>
      </c>
      <c r="M13">
        <f t="shared" si="0"/>
        <v>40</v>
      </c>
      <c r="N13">
        <v>24.13636363636364</v>
      </c>
    </row>
    <row r="14" spans="1:20" x14ac:dyDescent="0.3">
      <c r="A14" s="2">
        <v>1.1812455354243776</v>
      </c>
      <c r="B14" s="2">
        <v>4.5929943502824866</v>
      </c>
      <c r="C14" s="2">
        <v>13.596659297469909</v>
      </c>
      <c r="D14" s="2">
        <v>18.025636352590958</v>
      </c>
      <c r="E14" s="2">
        <v>48.160703075957272</v>
      </c>
      <c r="F14" s="2">
        <v>100</v>
      </c>
      <c r="G14" s="2">
        <v>100</v>
      </c>
      <c r="H14" s="2">
        <v>100</v>
      </c>
      <c r="I14" s="2">
        <v>100</v>
      </c>
      <c r="J14" s="2">
        <v>100</v>
      </c>
      <c r="K14">
        <f ca="1"/>
        <v>48.160703075957272</v>
      </c>
      <c r="M14">
        <f t="shared" si="0"/>
        <v>40</v>
      </c>
      <c r="N14">
        <v>25.531404958677694</v>
      </c>
    </row>
    <row r="15" spans="1:20" x14ac:dyDescent="0.3">
      <c r="A15" s="2">
        <v>0</v>
      </c>
      <c r="B15" s="2">
        <v>0</v>
      </c>
      <c r="C15" s="2">
        <v>0.65071177082967802</v>
      </c>
      <c r="D15" s="2">
        <v>4.1807909604519775</v>
      </c>
      <c r="E15" s="2">
        <v>4.6884567837047806</v>
      </c>
      <c r="F15" s="2">
        <v>6.7507704160246531</v>
      </c>
      <c r="G15" s="2">
        <v>13.728594578023037</v>
      </c>
      <c r="H15" s="2">
        <v>16.219752519788582</v>
      </c>
      <c r="I15" s="2">
        <v>36.110483364720636</v>
      </c>
      <c r="J15" s="2">
        <v>73.499596448749045</v>
      </c>
      <c r="K15">
        <f ca="1"/>
        <v>4.6884567837047806</v>
      </c>
      <c r="M15">
        <f t="shared" si="0"/>
        <v>40</v>
      </c>
      <c r="N15">
        <v>28.728925619834712</v>
      </c>
    </row>
    <row r="16" spans="1:20" x14ac:dyDescent="0.3">
      <c r="A16" s="2">
        <v>0</v>
      </c>
      <c r="B16" s="2">
        <v>0</v>
      </c>
      <c r="C16" s="2">
        <v>1.0830693740702968</v>
      </c>
      <c r="D16" s="2">
        <v>1.9493617911697014</v>
      </c>
      <c r="E16" s="2">
        <v>3.5924684891795082</v>
      </c>
      <c r="F16" s="2">
        <v>5.9675667966458237</v>
      </c>
      <c r="G16" s="2">
        <v>7.8050932288220434</v>
      </c>
      <c r="H16" s="2">
        <v>11.716201161772895</v>
      </c>
      <c r="I16" s="2">
        <v>20.48661168474143</v>
      </c>
      <c r="J16" s="2">
        <v>21.683615819209038</v>
      </c>
      <c r="K16">
        <f ca="1"/>
        <v>3.5924684891795082</v>
      </c>
      <c r="M16">
        <f t="shared" si="0"/>
        <v>40</v>
      </c>
      <c r="N16">
        <v>30.307438016528931</v>
      </c>
    </row>
    <row r="17" spans="1:18" x14ac:dyDescent="0.3">
      <c r="A17" s="2">
        <v>0</v>
      </c>
      <c r="B17" s="2">
        <v>1.9457423525220139</v>
      </c>
      <c r="C17" s="2">
        <v>5.0094161958568728</v>
      </c>
      <c r="D17" s="2">
        <v>5.5788933041386217</v>
      </c>
      <c r="E17" s="2">
        <v>8.9802478868304654</v>
      </c>
      <c r="F17" s="2">
        <v>10.665694672255631</v>
      </c>
      <c r="G17" s="2">
        <v>12.259785208937748</v>
      </c>
      <c r="H17" s="2">
        <v>13.784014432165593</v>
      </c>
      <c r="I17" s="2">
        <v>21.736897569400057</v>
      </c>
      <c r="J17" s="2">
        <v>22.903951001575386</v>
      </c>
      <c r="K17">
        <f ca="1"/>
        <v>8.9802478868304654</v>
      </c>
      <c r="M17">
        <f t="shared" si="0"/>
        <v>40</v>
      </c>
      <c r="N17">
        <v>30.970247933884295</v>
      </c>
    </row>
    <row r="18" spans="1:18" x14ac:dyDescent="0.3">
      <c r="A18" s="2">
        <v>0</v>
      </c>
      <c r="B18" s="2">
        <v>0</v>
      </c>
      <c r="C18" s="2">
        <v>0</v>
      </c>
      <c r="D18" s="2">
        <v>3.3211476681067902</v>
      </c>
      <c r="E18" s="2">
        <v>5.2396919449420478</v>
      </c>
      <c r="F18" s="2">
        <v>9.591127851014857</v>
      </c>
      <c r="G18" s="2">
        <v>12.279745685740235</v>
      </c>
      <c r="H18" s="2">
        <v>20.111976383162819</v>
      </c>
      <c r="I18" s="2">
        <v>24.198625168859344</v>
      </c>
      <c r="J18" s="2">
        <v>33.893996292953275</v>
      </c>
      <c r="K18">
        <f ca="1"/>
        <v>5.2396919449420478</v>
      </c>
      <c r="M18">
        <f t="shared" si="0"/>
        <v>40</v>
      </c>
      <c r="N18">
        <v>32.80743801652892</v>
      </c>
    </row>
    <row r="19" spans="1:18" x14ac:dyDescent="0.3">
      <c r="A19" s="2">
        <v>0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0.70944387458821145</v>
      </c>
      <c r="I19" s="2">
        <v>4.6267017685578553</v>
      </c>
      <c r="J19" s="2">
        <v>10.060000875925201</v>
      </c>
      <c r="K19">
        <f ca="1"/>
        <v>0</v>
      </c>
      <c r="M19">
        <f t="shared" si="0"/>
        <v>40</v>
      </c>
      <c r="N19">
        <v>38.371900826446272</v>
      </c>
    </row>
    <row r="20" spans="1:18" x14ac:dyDescent="0.3">
      <c r="A20" s="2">
        <v>0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2.3677988791323483</v>
      </c>
      <c r="K20">
        <f ca="1"/>
        <v>0</v>
      </c>
      <c r="M20">
        <f t="shared" si="0"/>
        <v>40</v>
      </c>
      <c r="N20">
        <v>40.450413223140494</v>
      </c>
    </row>
    <row r="21" spans="1:18" x14ac:dyDescent="0.3">
      <c r="A21" s="2">
        <v>0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>
        <f ca="1"/>
        <v>0</v>
      </c>
      <c r="M21">
        <f t="shared" si="0"/>
        <v>40</v>
      </c>
      <c r="N21">
        <v>55.789256198347104</v>
      </c>
    </row>
    <row r="22" spans="1:18" x14ac:dyDescent="0.3">
      <c r="A22" s="2">
        <v>0</v>
      </c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>
        <f ca="1"/>
        <v>0</v>
      </c>
      <c r="M22">
        <f t="shared" si="0"/>
        <v>40</v>
      </c>
      <c r="N22">
        <v>52.201652892561967</v>
      </c>
    </row>
    <row r="23" spans="1:18" x14ac:dyDescent="0.3">
      <c r="A23" s="2">
        <v>0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2.2000833800549193</v>
      </c>
      <c r="H23" s="2">
        <v>14.551899855987596</v>
      </c>
      <c r="I23" s="2">
        <v>21.853982734094693</v>
      </c>
      <c r="J23" s="2">
        <v>25.212233745593203</v>
      </c>
      <c r="K23">
        <f ca="1"/>
        <v>0</v>
      </c>
      <c r="M23">
        <f t="shared" si="0"/>
        <v>40</v>
      </c>
      <c r="N23">
        <v>36.425619834710737</v>
      </c>
      <c r="R23" s="1"/>
    </row>
    <row r="24" spans="1:18" x14ac:dyDescent="0.3">
      <c r="A24" s="2">
        <v>0</v>
      </c>
      <c r="B24" s="2">
        <v>0</v>
      </c>
      <c r="C24" s="2">
        <v>2.7993796388611947</v>
      </c>
      <c r="D24" s="2">
        <v>15.52037963446908</v>
      </c>
      <c r="E24" s="2">
        <v>19.391687949849086</v>
      </c>
      <c r="F24" s="2">
        <v>23.686355076185581</v>
      </c>
      <c r="G24" s="2">
        <v>46.817084359457233</v>
      </c>
      <c r="H24" s="2">
        <v>73.596270756804358</v>
      </c>
      <c r="I24" s="2">
        <v>100</v>
      </c>
      <c r="J24" s="2">
        <v>100</v>
      </c>
      <c r="K24">
        <f ca="1"/>
        <v>19.391687949849086</v>
      </c>
      <c r="M24">
        <f t="shared" si="0"/>
        <v>40</v>
      </c>
      <c r="N24">
        <v>30.252892561983462</v>
      </c>
      <c r="R24" s="1"/>
    </row>
    <row r="25" spans="1:18" x14ac:dyDescent="0.3">
      <c r="A25" s="2">
        <v>16.374833326460195</v>
      </c>
      <c r="B25" s="2">
        <v>46.55367231638418</v>
      </c>
      <c r="C25" s="2">
        <v>79.909325521378264</v>
      </c>
      <c r="D25" s="2">
        <v>100</v>
      </c>
      <c r="E25" s="2">
        <v>100</v>
      </c>
      <c r="F25" s="2">
        <v>100</v>
      </c>
      <c r="G25" s="2">
        <v>100</v>
      </c>
      <c r="H25" s="2">
        <v>100</v>
      </c>
      <c r="I25" s="2">
        <v>100</v>
      </c>
      <c r="J25" s="2">
        <v>100</v>
      </c>
      <c r="K25">
        <f ca="1"/>
        <v>100</v>
      </c>
      <c r="M25">
        <f t="shared" si="0"/>
        <v>40</v>
      </c>
      <c r="N25">
        <v>25.376859504132238</v>
      </c>
      <c r="R25" s="1"/>
    </row>
    <row r="26" spans="1:18" x14ac:dyDescent="0.3">
      <c r="R26" s="1"/>
    </row>
    <row r="27" spans="1:18" x14ac:dyDescent="0.3">
      <c r="R27" s="1"/>
    </row>
    <row r="28" spans="1:18" x14ac:dyDescent="0.3">
      <c r="A28" t="s">
        <v>2</v>
      </c>
      <c r="R28" s="1"/>
    </row>
    <row r="29" spans="1:18" x14ac:dyDescent="0.3">
      <c r="A29">
        <v>24.8</v>
      </c>
      <c r="B29">
        <v>26.3</v>
      </c>
      <c r="C29">
        <v>27.8</v>
      </c>
      <c r="D29">
        <v>29.3</v>
      </c>
      <c r="E29">
        <v>30.8</v>
      </c>
      <c r="F29">
        <v>32.200000000000003</v>
      </c>
      <c r="G29">
        <v>33.700000000000003</v>
      </c>
      <c r="H29">
        <v>35.200000000000003</v>
      </c>
      <c r="I29">
        <v>36.700000000000003</v>
      </c>
      <c r="J29">
        <v>38.200000000000003</v>
      </c>
      <c r="R29" s="1"/>
    </row>
    <row r="30" spans="1:18" x14ac:dyDescent="0.3">
      <c r="R30" s="1"/>
    </row>
    <row r="31" spans="1:18" x14ac:dyDescent="0.3">
      <c r="R31" s="1"/>
    </row>
    <row r="32" spans="1:18" x14ac:dyDescent="0.3">
      <c r="R32" s="1"/>
    </row>
    <row r="33" spans="18:18" x14ac:dyDescent="0.3">
      <c r="R33" s="1"/>
    </row>
    <row r="34" spans="18:18" x14ac:dyDescent="0.3">
      <c r="R34" s="1"/>
    </row>
    <row r="35" spans="18:18" x14ac:dyDescent="0.3">
      <c r="R35" s="1"/>
    </row>
    <row r="36" spans="18:18" x14ac:dyDescent="0.3">
      <c r="R36" s="1"/>
    </row>
    <row r="37" spans="18:18" x14ac:dyDescent="0.3">
      <c r="R37" s="1"/>
    </row>
    <row r="38" spans="18:18" x14ac:dyDescent="0.3">
      <c r="R38" s="1"/>
    </row>
    <row r="39" spans="18:18" x14ac:dyDescent="0.3">
      <c r="R39" s="1"/>
    </row>
    <row r="40" spans="18:18" x14ac:dyDescent="0.3">
      <c r="R40" s="1"/>
    </row>
    <row r="41" spans="18:18" x14ac:dyDescent="0.3">
      <c r="R41" s="1"/>
    </row>
    <row r="42" spans="18:18" x14ac:dyDescent="0.3">
      <c r="R42" s="1"/>
    </row>
    <row r="43" spans="18:18" x14ac:dyDescent="0.3">
      <c r="R43" s="1"/>
    </row>
    <row r="44" spans="18:18" x14ac:dyDescent="0.3">
      <c r="R44" s="1"/>
    </row>
    <row r="45" spans="18:18" x14ac:dyDescent="0.3">
      <c r="R45" s="1"/>
    </row>
    <row r="46" spans="18:18" x14ac:dyDescent="0.3">
      <c r="R46" s="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15FEF-55BC-420F-A92A-9B884A170BA6}">
  <sheetPr codeName="Sheet4"/>
  <dimension ref="A1:T46"/>
  <sheetViews>
    <sheetView zoomScale="115" zoomScaleNormal="115" workbookViewId="0">
      <selection activeCell="F18" sqref="F18"/>
    </sheetView>
  </sheetViews>
  <sheetFormatPr defaultRowHeight="14.4" x14ac:dyDescent="0.3"/>
  <cols>
    <col min="1" max="3" width="9" bestFit="1" customWidth="1"/>
    <col min="4" max="7" width="9.109375" bestFit="1" customWidth="1"/>
    <col min="8" max="10" width="10.33203125" bestFit="1" customWidth="1"/>
  </cols>
  <sheetData>
    <row r="1" spans="1:20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P1" t="s">
        <v>0</v>
      </c>
      <c r="Q1">
        <v>5</v>
      </c>
      <c r="T1" t="str">
        <f>_xlfn.CONCAT("Curva de oferta para bid de ",M2," USD/MWh")</f>
        <v>Curva de oferta para bid de 40 USD/MWh</v>
      </c>
    </row>
    <row r="2" spans="1:20" x14ac:dyDescent="0.3">
      <c r="A2" s="2">
        <v>100</v>
      </c>
      <c r="B2" s="2">
        <v>100</v>
      </c>
      <c r="C2" s="2">
        <v>100</v>
      </c>
      <c r="D2" s="2">
        <v>100</v>
      </c>
      <c r="E2" s="2">
        <v>100</v>
      </c>
      <c r="F2" s="2">
        <v>100</v>
      </c>
      <c r="G2" s="2">
        <v>100</v>
      </c>
      <c r="H2" s="2">
        <v>100</v>
      </c>
      <c r="I2" s="2">
        <v>100</v>
      </c>
      <c r="J2" s="2">
        <v>100</v>
      </c>
      <c r="K2" cm="1">
        <f t="array" aca="1" ref="K2:K25" ca="1">OFFSET(A2:A25,0,Q1-1)</f>
        <v>100</v>
      </c>
      <c r="M2">
        <f>(Q1*10)-10</f>
        <v>40</v>
      </c>
      <c r="N2">
        <v>38.802459016393435</v>
      </c>
      <c r="Q2" t="s">
        <v>1</v>
      </c>
    </row>
    <row r="3" spans="1:20" x14ac:dyDescent="0.3">
      <c r="A3" s="2">
        <v>100</v>
      </c>
      <c r="B3" s="2">
        <v>100</v>
      </c>
      <c r="C3" s="2">
        <v>100</v>
      </c>
      <c r="D3" s="2">
        <v>100</v>
      </c>
      <c r="E3" s="2">
        <v>100</v>
      </c>
      <c r="F3" s="2">
        <v>100</v>
      </c>
      <c r="G3" s="2">
        <v>100</v>
      </c>
      <c r="H3" s="2">
        <v>100</v>
      </c>
      <c r="I3" s="2">
        <v>100</v>
      </c>
      <c r="J3" s="2">
        <v>100</v>
      </c>
      <c r="K3">
        <f ca="1"/>
        <v>100</v>
      </c>
      <c r="M3">
        <f>M2</f>
        <v>40</v>
      </c>
      <c r="N3">
        <v>37.184426229508219</v>
      </c>
    </row>
    <row r="4" spans="1:20" x14ac:dyDescent="0.3">
      <c r="A4" s="2">
        <v>100</v>
      </c>
      <c r="B4" s="2">
        <v>100</v>
      </c>
      <c r="C4" s="2">
        <v>100</v>
      </c>
      <c r="D4" s="2">
        <v>100</v>
      </c>
      <c r="E4" s="2">
        <v>100</v>
      </c>
      <c r="F4" s="2">
        <v>100</v>
      </c>
      <c r="G4" s="2">
        <v>100</v>
      </c>
      <c r="H4" s="2">
        <v>100</v>
      </c>
      <c r="I4" s="2">
        <v>100</v>
      </c>
      <c r="J4" s="2">
        <v>100</v>
      </c>
      <c r="K4">
        <f ca="1"/>
        <v>100</v>
      </c>
      <c r="M4">
        <f t="shared" ref="M4:M25" si="0">M3</f>
        <v>40</v>
      </c>
      <c r="N4">
        <v>36.150819672131149</v>
      </c>
    </row>
    <row r="5" spans="1:20" x14ac:dyDescent="0.3">
      <c r="A5" s="2">
        <v>100</v>
      </c>
      <c r="B5" s="2">
        <v>100</v>
      </c>
      <c r="C5" s="2">
        <v>100</v>
      </c>
      <c r="D5" s="2">
        <v>100</v>
      </c>
      <c r="E5" s="2">
        <v>100</v>
      </c>
      <c r="F5" s="2">
        <v>100</v>
      </c>
      <c r="G5" s="2">
        <v>100</v>
      </c>
      <c r="H5" s="2">
        <v>100</v>
      </c>
      <c r="I5" s="2">
        <v>100</v>
      </c>
      <c r="J5" s="2">
        <v>100</v>
      </c>
      <c r="K5">
        <f ca="1"/>
        <v>100</v>
      </c>
      <c r="M5">
        <f t="shared" si="0"/>
        <v>40</v>
      </c>
      <c r="N5">
        <v>37.049999999999997</v>
      </c>
    </row>
    <row r="6" spans="1:20" x14ac:dyDescent="0.3">
      <c r="A6" s="2">
        <v>100</v>
      </c>
      <c r="B6" s="2">
        <v>100</v>
      </c>
      <c r="C6" s="2">
        <v>100</v>
      </c>
      <c r="D6" s="2">
        <v>100</v>
      </c>
      <c r="E6" s="2">
        <v>100</v>
      </c>
      <c r="F6" s="2">
        <v>100</v>
      </c>
      <c r="G6" s="2">
        <v>100</v>
      </c>
      <c r="H6" s="2">
        <v>100</v>
      </c>
      <c r="I6" s="2">
        <v>100</v>
      </c>
      <c r="J6" s="2">
        <v>100</v>
      </c>
      <c r="K6">
        <f ca="1"/>
        <v>100</v>
      </c>
      <c r="M6">
        <f t="shared" si="0"/>
        <v>40</v>
      </c>
      <c r="N6">
        <v>38.216393442622973</v>
      </c>
    </row>
    <row r="7" spans="1:20" x14ac:dyDescent="0.3">
      <c r="A7" s="2">
        <v>100</v>
      </c>
      <c r="B7" s="2">
        <v>100</v>
      </c>
      <c r="C7" s="2">
        <v>100</v>
      </c>
      <c r="D7" s="2">
        <v>100</v>
      </c>
      <c r="E7" s="2">
        <v>100</v>
      </c>
      <c r="F7" s="2">
        <v>100</v>
      </c>
      <c r="G7" s="2">
        <v>100</v>
      </c>
      <c r="H7" s="2">
        <v>100</v>
      </c>
      <c r="I7" s="2">
        <v>100</v>
      </c>
      <c r="J7" s="2">
        <v>100</v>
      </c>
      <c r="K7">
        <f ca="1"/>
        <v>100</v>
      </c>
      <c r="M7">
        <f t="shared" si="0"/>
        <v>40</v>
      </c>
      <c r="N7">
        <v>47.561475409836063</v>
      </c>
    </row>
    <row r="8" spans="1:20" x14ac:dyDescent="0.3">
      <c r="A8" s="2">
        <v>100</v>
      </c>
      <c r="B8" s="2">
        <v>100</v>
      </c>
      <c r="C8" s="2">
        <v>100</v>
      </c>
      <c r="D8" s="2">
        <v>100</v>
      </c>
      <c r="E8" s="2">
        <v>100</v>
      </c>
      <c r="F8" s="2">
        <v>100</v>
      </c>
      <c r="G8" s="2">
        <v>100</v>
      </c>
      <c r="H8" s="2">
        <v>100</v>
      </c>
      <c r="I8" s="2">
        <v>100</v>
      </c>
      <c r="J8" s="2">
        <v>100</v>
      </c>
      <c r="K8">
        <f ca="1"/>
        <v>100</v>
      </c>
      <c r="M8">
        <f t="shared" si="0"/>
        <v>40</v>
      </c>
      <c r="N8">
        <v>70.092622950819674</v>
      </c>
    </row>
    <row r="9" spans="1:20" x14ac:dyDescent="0.3">
      <c r="A9" s="2">
        <v>69.03358501129938</v>
      </c>
      <c r="B9" s="2">
        <v>100</v>
      </c>
      <c r="C9" s="2">
        <v>100</v>
      </c>
      <c r="D9" s="2">
        <v>100</v>
      </c>
      <c r="E9" s="2">
        <v>100</v>
      </c>
      <c r="F9" s="2">
        <v>100</v>
      </c>
      <c r="G9" s="2">
        <v>100</v>
      </c>
      <c r="H9" s="2">
        <v>100</v>
      </c>
      <c r="I9" s="2">
        <v>100</v>
      </c>
      <c r="J9" s="2">
        <v>100</v>
      </c>
      <c r="K9">
        <f ca="1"/>
        <v>100</v>
      </c>
      <c r="M9">
        <f t="shared" si="0"/>
        <v>40</v>
      </c>
      <c r="N9">
        <v>72.681967213114788</v>
      </c>
    </row>
    <row r="10" spans="1:20" x14ac:dyDescent="0.3">
      <c r="A10" s="2">
        <v>100</v>
      </c>
      <c r="B10" s="2">
        <v>100</v>
      </c>
      <c r="C10" s="2">
        <v>100</v>
      </c>
      <c r="D10" s="2">
        <v>100</v>
      </c>
      <c r="E10" s="2">
        <v>100</v>
      </c>
      <c r="F10" s="2">
        <v>100</v>
      </c>
      <c r="G10" s="2">
        <v>100</v>
      </c>
      <c r="H10" s="2">
        <v>100</v>
      </c>
      <c r="I10" s="2">
        <v>100</v>
      </c>
      <c r="J10" s="2">
        <v>100</v>
      </c>
      <c r="K10">
        <f ca="1"/>
        <v>100</v>
      </c>
      <c r="M10">
        <f t="shared" si="0"/>
        <v>40</v>
      </c>
      <c r="N10">
        <v>44.972131147540971</v>
      </c>
    </row>
    <row r="11" spans="1:20" x14ac:dyDescent="0.3">
      <c r="A11" s="2">
        <v>100</v>
      </c>
      <c r="B11" s="2">
        <v>100</v>
      </c>
      <c r="C11" s="2">
        <v>100</v>
      </c>
      <c r="D11" s="2">
        <v>100</v>
      </c>
      <c r="E11" s="2">
        <v>100</v>
      </c>
      <c r="F11" s="2">
        <v>100</v>
      </c>
      <c r="G11" s="2">
        <v>100</v>
      </c>
      <c r="H11" s="2">
        <v>100</v>
      </c>
      <c r="I11" s="2">
        <v>100</v>
      </c>
      <c r="J11" s="2">
        <v>100</v>
      </c>
      <c r="K11">
        <f ca="1"/>
        <v>100</v>
      </c>
      <c r="M11">
        <f t="shared" si="0"/>
        <v>40</v>
      </c>
      <c r="N11">
        <v>35.022131147540982</v>
      </c>
    </row>
    <row r="12" spans="1:20" x14ac:dyDescent="0.3">
      <c r="A12" s="2">
        <v>100</v>
      </c>
      <c r="B12" s="2">
        <v>100</v>
      </c>
      <c r="C12" s="2">
        <v>100</v>
      </c>
      <c r="D12" s="2">
        <v>100</v>
      </c>
      <c r="E12" s="2">
        <v>100</v>
      </c>
      <c r="F12" s="2">
        <v>100</v>
      </c>
      <c r="G12" s="2">
        <v>100</v>
      </c>
      <c r="H12" s="2">
        <v>100</v>
      </c>
      <c r="I12" s="2">
        <v>100</v>
      </c>
      <c r="J12" s="2">
        <v>100</v>
      </c>
      <c r="K12">
        <f ca="1"/>
        <v>100</v>
      </c>
      <c r="M12">
        <f t="shared" si="0"/>
        <v>40</v>
      </c>
      <c r="N12">
        <v>35.838524590163949</v>
      </c>
    </row>
    <row r="13" spans="1:20" x14ac:dyDescent="0.3">
      <c r="A13" s="2">
        <v>100</v>
      </c>
      <c r="B13" s="2">
        <v>100</v>
      </c>
      <c r="C13" s="2">
        <v>100</v>
      </c>
      <c r="D13" s="2">
        <v>100</v>
      </c>
      <c r="E13" s="2">
        <v>100</v>
      </c>
      <c r="F13" s="2">
        <v>100</v>
      </c>
      <c r="G13" s="2">
        <v>100</v>
      </c>
      <c r="H13" s="2">
        <v>100</v>
      </c>
      <c r="I13" s="2">
        <v>100</v>
      </c>
      <c r="J13" s="2">
        <v>100</v>
      </c>
      <c r="K13">
        <f ca="1"/>
        <v>100</v>
      </c>
      <c r="M13">
        <f t="shared" si="0"/>
        <v>40</v>
      </c>
      <c r="N13">
        <v>38.904918032786867</v>
      </c>
    </row>
    <row r="14" spans="1:20" x14ac:dyDescent="0.3">
      <c r="A14" s="2">
        <v>100</v>
      </c>
      <c r="B14" s="2">
        <v>100</v>
      </c>
      <c r="C14" s="2">
        <v>100</v>
      </c>
      <c r="D14" s="2">
        <v>100</v>
      </c>
      <c r="E14" s="2">
        <v>100</v>
      </c>
      <c r="F14" s="2">
        <v>100</v>
      </c>
      <c r="G14" s="2">
        <v>100</v>
      </c>
      <c r="H14" s="2">
        <v>100</v>
      </c>
      <c r="I14" s="2">
        <v>100</v>
      </c>
      <c r="J14" s="2">
        <v>100</v>
      </c>
      <c r="K14">
        <f ca="1"/>
        <v>100</v>
      </c>
      <c r="M14">
        <f t="shared" si="0"/>
        <v>40</v>
      </c>
      <c r="N14">
        <v>42.532786885245876</v>
      </c>
    </row>
    <row r="15" spans="1:20" x14ac:dyDescent="0.3">
      <c r="A15" s="2">
        <v>100</v>
      </c>
      <c r="B15" s="2">
        <v>100</v>
      </c>
      <c r="C15" s="2">
        <v>100</v>
      </c>
      <c r="D15" s="2">
        <v>100</v>
      </c>
      <c r="E15" s="2">
        <v>100</v>
      </c>
      <c r="F15" s="2">
        <v>100</v>
      </c>
      <c r="G15" s="2">
        <v>100</v>
      </c>
      <c r="H15" s="2">
        <v>100</v>
      </c>
      <c r="I15" s="2">
        <v>100</v>
      </c>
      <c r="J15" s="2">
        <v>100</v>
      </c>
      <c r="K15">
        <f ca="1"/>
        <v>100</v>
      </c>
      <c r="M15">
        <f t="shared" si="0"/>
        <v>40</v>
      </c>
      <c r="N15">
        <v>62.432786885245889</v>
      </c>
    </row>
    <row r="16" spans="1:20" x14ac:dyDescent="0.3">
      <c r="A16" s="2">
        <v>5.9983178465649329</v>
      </c>
      <c r="B16" s="2">
        <v>26.531338947910935</v>
      </c>
      <c r="C16" s="2">
        <v>100</v>
      </c>
      <c r="D16" s="2">
        <v>100</v>
      </c>
      <c r="E16" s="2">
        <v>100</v>
      </c>
      <c r="F16" s="2">
        <v>100</v>
      </c>
      <c r="G16" s="2">
        <v>100</v>
      </c>
      <c r="H16" s="2">
        <v>100</v>
      </c>
      <c r="I16" s="2">
        <v>100</v>
      </c>
      <c r="J16" s="2">
        <v>100</v>
      </c>
      <c r="K16">
        <f ca="1"/>
        <v>100</v>
      </c>
      <c r="M16">
        <f t="shared" si="0"/>
        <v>40</v>
      </c>
      <c r="N16">
        <v>139.65983606557376</v>
      </c>
    </row>
    <row r="17" spans="1:18" x14ac:dyDescent="0.3">
      <c r="A17" s="2">
        <v>0</v>
      </c>
      <c r="B17" s="2">
        <v>5.7258409522927449</v>
      </c>
      <c r="C17" s="2">
        <v>14.719439447022065</v>
      </c>
      <c r="D17" s="2">
        <v>20.308433091374585</v>
      </c>
      <c r="E17" s="2">
        <v>34.753395959393352</v>
      </c>
      <c r="F17" s="2">
        <v>100</v>
      </c>
      <c r="G17" s="2">
        <v>100</v>
      </c>
      <c r="H17" s="2">
        <v>100</v>
      </c>
      <c r="I17" s="2">
        <v>100</v>
      </c>
      <c r="J17" s="2">
        <v>100</v>
      </c>
      <c r="K17">
        <f ca="1"/>
        <v>34.753395959393352</v>
      </c>
      <c r="M17">
        <f t="shared" si="0"/>
        <v>40</v>
      </c>
      <c r="N17">
        <v>218.49672131147545</v>
      </c>
    </row>
    <row r="18" spans="1:18" x14ac:dyDescent="0.3">
      <c r="A18" s="2">
        <v>0</v>
      </c>
      <c r="B18" s="2">
        <v>1.8909235299200784</v>
      </c>
      <c r="C18" s="2">
        <v>13.449064542824846</v>
      </c>
      <c r="D18" s="2">
        <v>17.699872294723924</v>
      </c>
      <c r="E18" s="2">
        <v>18.138256615087581</v>
      </c>
      <c r="F18" s="2">
        <v>21.229255886186152</v>
      </c>
      <c r="G18" s="2">
        <v>30.387949782243268</v>
      </c>
      <c r="H18" s="2">
        <v>73.844925832177267</v>
      </c>
      <c r="I18" s="2">
        <v>100</v>
      </c>
      <c r="J18" s="2">
        <v>100</v>
      </c>
      <c r="K18">
        <f ca="1"/>
        <v>18.138256615087581</v>
      </c>
      <c r="M18">
        <f t="shared" si="0"/>
        <v>40</v>
      </c>
      <c r="N18">
        <v>327.32950819672124</v>
      </c>
    </row>
    <row r="19" spans="1:18" x14ac:dyDescent="0.3">
      <c r="A19" s="2">
        <v>0</v>
      </c>
      <c r="B19" s="2">
        <v>1.1732547955225734</v>
      </c>
      <c r="C19" s="2">
        <v>12.773095847506022</v>
      </c>
      <c r="D19" s="2">
        <v>19.381906370482657</v>
      </c>
      <c r="E19" s="2">
        <v>22.92750712143744</v>
      </c>
      <c r="F19" s="2">
        <v>25.95835198433786</v>
      </c>
      <c r="G19" s="2">
        <v>81.332560604453406</v>
      </c>
      <c r="H19" s="2">
        <v>100</v>
      </c>
      <c r="I19" s="2">
        <v>100</v>
      </c>
      <c r="J19" s="2">
        <v>100</v>
      </c>
      <c r="K19">
        <f ca="1"/>
        <v>22.92750712143744</v>
      </c>
      <c r="M19">
        <f t="shared" si="0"/>
        <v>40</v>
      </c>
      <c r="N19">
        <v>302.24508196721308</v>
      </c>
    </row>
    <row r="20" spans="1:18" x14ac:dyDescent="0.3">
      <c r="A20" s="2">
        <v>0</v>
      </c>
      <c r="B20" s="2">
        <v>0</v>
      </c>
      <c r="C20" s="2">
        <v>2.2146501840493817</v>
      </c>
      <c r="D20" s="2">
        <v>7.8482913518529669</v>
      </c>
      <c r="E20" s="2">
        <v>19.479050077770474</v>
      </c>
      <c r="F20" s="2">
        <v>28.196414534775325</v>
      </c>
      <c r="G20" s="2">
        <v>32.012522964683328</v>
      </c>
      <c r="H20" s="2">
        <v>67.739215788147604</v>
      </c>
      <c r="I20" s="2">
        <v>100</v>
      </c>
      <c r="J20" s="2">
        <v>100</v>
      </c>
      <c r="K20">
        <f ca="1"/>
        <v>19.479050077770474</v>
      </c>
      <c r="M20">
        <f t="shared" si="0"/>
        <v>40</v>
      </c>
      <c r="N20">
        <v>353.90655737704935</v>
      </c>
    </row>
    <row r="21" spans="1:18" x14ac:dyDescent="0.3">
      <c r="A21" s="2">
        <v>0</v>
      </c>
      <c r="B21" s="2">
        <v>0</v>
      </c>
      <c r="C21" s="2">
        <v>0</v>
      </c>
      <c r="D21" s="2">
        <v>2.2873774027019191</v>
      </c>
      <c r="E21" s="2">
        <v>3.5615993068145619</v>
      </c>
      <c r="F21" s="2">
        <v>14.017441534770144</v>
      </c>
      <c r="G21" s="2">
        <v>21.631414957758782</v>
      </c>
      <c r="H21" s="2">
        <v>22.541919631154236</v>
      </c>
      <c r="I21" s="2">
        <v>28.174387124730853</v>
      </c>
      <c r="J21" s="2">
        <v>30.798468497887185</v>
      </c>
      <c r="K21">
        <f ca="1"/>
        <v>3.5615993068145619</v>
      </c>
      <c r="M21">
        <f t="shared" si="0"/>
        <v>40</v>
      </c>
      <c r="N21">
        <v>586.24999999999989</v>
      </c>
    </row>
    <row r="22" spans="1:18" x14ac:dyDescent="0.3">
      <c r="A22" s="2">
        <v>0</v>
      </c>
      <c r="B22" s="2">
        <v>11.280620950043801</v>
      </c>
      <c r="C22" s="2">
        <v>14.730261544405437</v>
      </c>
      <c r="D22" s="2">
        <v>33.792896534485315</v>
      </c>
      <c r="E22" s="2">
        <v>68.36289614514277</v>
      </c>
      <c r="F22" s="2">
        <v>85.479098617722116</v>
      </c>
      <c r="G22" s="2">
        <v>100</v>
      </c>
      <c r="H22" s="2">
        <v>100</v>
      </c>
      <c r="I22" s="2">
        <v>100</v>
      </c>
      <c r="J22" s="2">
        <v>100</v>
      </c>
      <c r="K22">
        <f ca="1"/>
        <v>68.36289614514277</v>
      </c>
      <c r="M22">
        <f t="shared" si="0"/>
        <v>40</v>
      </c>
      <c r="N22">
        <v>280.18524590163929</v>
      </c>
    </row>
    <row r="23" spans="1:18" x14ac:dyDescent="0.3">
      <c r="A23" s="2">
        <v>100</v>
      </c>
      <c r="B23" s="2">
        <v>100</v>
      </c>
      <c r="C23" s="2">
        <v>100</v>
      </c>
      <c r="D23" s="2">
        <v>100</v>
      </c>
      <c r="E23" s="2">
        <v>100</v>
      </c>
      <c r="F23" s="2">
        <v>100</v>
      </c>
      <c r="G23" s="2">
        <v>100</v>
      </c>
      <c r="H23" s="2">
        <v>100</v>
      </c>
      <c r="I23" s="2">
        <v>100</v>
      </c>
      <c r="J23" s="2">
        <v>100</v>
      </c>
      <c r="K23">
        <f ca="1"/>
        <v>100</v>
      </c>
      <c r="M23">
        <f t="shared" si="0"/>
        <v>40</v>
      </c>
      <c r="N23">
        <v>63.700819672131111</v>
      </c>
      <c r="R23" s="1"/>
    </row>
    <row r="24" spans="1:18" x14ac:dyDescent="0.3">
      <c r="A24" s="2">
        <v>100</v>
      </c>
      <c r="B24" s="2">
        <v>100</v>
      </c>
      <c r="C24" s="2">
        <v>100</v>
      </c>
      <c r="D24" s="2">
        <v>100</v>
      </c>
      <c r="E24" s="2">
        <v>100</v>
      </c>
      <c r="F24" s="2">
        <v>100</v>
      </c>
      <c r="G24" s="2">
        <v>100</v>
      </c>
      <c r="H24" s="2">
        <v>100</v>
      </c>
      <c r="I24" s="2">
        <v>100</v>
      </c>
      <c r="J24" s="2">
        <v>100</v>
      </c>
      <c r="K24">
        <f ca="1"/>
        <v>100</v>
      </c>
      <c r="M24">
        <f t="shared" si="0"/>
        <v>40</v>
      </c>
      <c r="N24">
        <v>48.072950819672123</v>
      </c>
      <c r="R24" s="1"/>
    </row>
    <row r="25" spans="1:18" x14ac:dyDescent="0.3">
      <c r="A25" s="2">
        <v>100</v>
      </c>
      <c r="B25" s="2">
        <v>100</v>
      </c>
      <c r="C25" s="2">
        <v>100</v>
      </c>
      <c r="D25" s="2">
        <v>100</v>
      </c>
      <c r="E25" s="2">
        <v>100</v>
      </c>
      <c r="F25" s="2">
        <v>100</v>
      </c>
      <c r="G25" s="2">
        <v>100</v>
      </c>
      <c r="H25" s="2">
        <v>100</v>
      </c>
      <c r="I25" s="2">
        <v>100</v>
      </c>
      <c r="J25" s="2">
        <v>100</v>
      </c>
      <c r="K25">
        <f ca="1"/>
        <v>100</v>
      </c>
      <c r="M25">
        <f t="shared" si="0"/>
        <v>40</v>
      </c>
      <c r="N25">
        <v>26.876229508196712</v>
      </c>
      <c r="R25" s="1"/>
    </row>
    <row r="26" spans="1:18" x14ac:dyDescent="0.3">
      <c r="R26" s="1"/>
    </row>
    <row r="27" spans="1:18" x14ac:dyDescent="0.3">
      <c r="R27" s="1"/>
    </row>
    <row r="28" spans="1:18" x14ac:dyDescent="0.3">
      <c r="A28" t="s">
        <v>2</v>
      </c>
      <c r="R28" s="1"/>
    </row>
    <row r="29" spans="1:18" x14ac:dyDescent="0.3">
      <c r="A29">
        <v>124.3</v>
      </c>
      <c r="B29">
        <v>208.8</v>
      </c>
      <c r="C29">
        <v>293.3</v>
      </c>
      <c r="D29">
        <v>377.8</v>
      </c>
      <c r="E29">
        <v>462.3</v>
      </c>
      <c r="F29">
        <v>546.9</v>
      </c>
      <c r="G29">
        <v>631.4</v>
      </c>
      <c r="H29">
        <v>715.9</v>
      </c>
      <c r="I29">
        <v>800.4</v>
      </c>
      <c r="J29">
        <v>884.9</v>
      </c>
      <c r="R29" s="1"/>
    </row>
    <row r="30" spans="1:18" x14ac:dyDescent="0.3">
      <c r="R30" s="1"/>
    </row>
    <row r="31" spans="1:18" x14ac:dyDescent="0.3">
      <c r="R31" s="1"/>
    </row>
    <row r="32" spans="1:18" x14ac:dyDescent="0.3">
      <c r="R32" s="1"/>
    </row>
    <row r="33" spans="18:18" x14ac:dyDescent="0.3">
      <c r="R33" s="1"/>
    </row>
    <row r="34" spans="18:18" x14ac:dyDescent="0.3">
      <c r="R34" s="1"/>
    </row>
    <row r="35" spans="18:18" x14ac:dyDescent="0.3">
      <c r="R35" s="1"/>
    </row>
    <row r="36" spans="18:18" x14ac:dyDescent="0.3">
      <c r="R36" s="1"/>
    </row>
    <row r="37" spans="18:18" x14ac:dyDescent="0.3">
      <c r="R37" s="1"/>
    </row>
    <row r="38" spans="18:18" x14ac:dyDescent="0.3">
      <c r="R38" s="1"/>
    </row>
    <row r="39" spans="18:18" x14ac:dyDescent="0.3">
      <c r="R39" s="1"/>
    </row>
    <row r="40" spans="18:18" x14ac:dyDescent="0.3">
      <c r="R40" s="1"/>
    </row>
    <row r="41" spans="18:18" x14ac:dyDescent="0.3">
      <c r="R41" s="1"/>
    </row>
    <row r="42" spans="18:18" x14ac:dyDescent="0.3">
      <c r="R42" s="1"/>
    </row>
    <row r="43" spans="18:18" x14ac:dyDescent="0.3">
      <c r="R43" s="1"/>
    </row>
    <row r="44" spans="18:18" x14ac:dyDescent="0.3">
      <c r="R44" s="1"/>
    </row>
    <row r="45" spans="18:18" x14ac:dyDescent="0.3">
      <c r="R45" s="1"/>
    </row>
    <row r="46" spans="18:18" x14ac:dyDescent="0.3">
      <c r="R46" s="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9DA48-1CB0-4188-B1DC-81BEA836791B}">
  <sheetPr codeName="Sheet6"/>
  <dimension ref="A1:T158"/>
  <sheetViews>
    <sheetView topLeftCell="A25" zoomScale="145" zoomScaleNormal="145" workbookViewId="0">
      <selection activeCell="A27" sqref="A27"/>
    </sheetView>
  </sheetViews>
  <sheetFormatPr defaultRowHeight="14.4" x14ac:dyDescent="0.3"/>
  <cols>
    <col min="2" max="2" width="11.33203125" bestFit="1" customWidth="1"/>
  </cols>
  <sheetData>
    <row r="1" spans="1:20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P1" t="s">
        <v>0</v>
      </c>
      <c r="Q1">
        <v>10</v>
      </c>
      <c r="T1" t="str">
        <f ca="1">_xlfn.CONCAT("Curva de oferta para lance de ",M2," USD/MWh")</f>
        <v>Curva de oferta para lance de 96 USD/MWh</v>
      </c>
    </row>
    <row r="2" spans="1:20" x14ac:dyDescent="0.3">
      <c r="A2">
        <v>0</v>
      </c>
      <c r="B2">
        <v>0</v>
      </c>
      <c r="C2">
        <v>2.4313802140801415</v>
      </c>
      <c r="D2">
        <v>4.9522238503762068</v>
      </c>
      <c r="E2">
        <v>6.0680172343566863</v>
      </c>
      <c r="F2">
        <v>9.7365914082044522</v>
      </c>
      <c r="G2">
        <v>23.766361992131429</v>
      </c>
      <c r="H2">
        <v>80.37314754057094</v>
      </c>
      <c r="I2">
        <v>100</v>
      </c>
      <c r="J2">
        <v>100</v>
      </c>
      <c r="K2" cm="1">
        <f t="array" aca="1" ref="K2:K25" ca="1">OFFSET(A2:A25,0,Q1-1)</f>
        <v>100</v>
      </c>
      <c r="M2">
        <f ca="1">K27</f>
        <v>96</v>
      </c>
      <c r="N2" s="3">
        <v>24.533215156304099</v>
      </c>
      <c r="Q2" t="s">
        <v>1</v>
      </c>
    </row>
    <row r="3" spans="1:20" x14ac:dyDescent="0.3">
      <c r="A3">
        <v>0</v>
      </c>
      <c r="B3">
        <v>0</v>
      </c>
      <c r="C3">
        <v>4.1182254131999692</v>
      </c>
      <c r="D3">
        <v>6.5165065400781295</v>
      </c>
      <c r="E3">
        <v>8.3232864187319073</v>
      </c>
      <c r="F3">
        <v>18.89510761022002</v>
      </c>
      <c r="G3">
        <v>24.444133882633565</v>
      </c>
      <c r="H3">
        <v>100</v>
      </c>
      <c r="I3">
        <v>100</v>
      </c>
      <c r="J3">
        <v>100</v>
      </c>
      <c r="K3">
        <f ca="1"/>
        <v>100</v>
      </c>
      <c r="M3">
        <f ca="1">M2</f>
        <v>96</v>
      </c>
      <c r="N3" s="3">
        <v>22.7343036529725</v>
      </c>
    </row>
    <row r="4" spans="1:20" x14ac:dyDescent="0.3">
      <c r="A4">
        <v>0</v>
      </c>
      <c r="B4">
        <v>0</v>
      </c>
      <c r="C4">
        <v>4.8516114656858402</v>
      </c>
      <c r="D4">
        <v>8.9001353509449252</v>
      </c>
      <c r="E4">
        <v>10.376371119791305</v>
      </c>
      <c r="F4">
        <v>17.207036577649909</v>
      </c>
      <c r="G4">
        <v>26.094540220983987</v>
      </c>
      <c r="H4">
        <v>100</v>
      </c>
      <c r="I4">
        <v>100</v>
      </c>
      <c r="J4">
        <v>100</v>
      </c>
      <c r="K4">
        <f ca="1"/>
        <v>100</v>
      </c>
      <c r="M4">
        <f t="shared" ref="M4:M25" ca="1" si="0">M3</f>
        <v>96</v>
      </c>
      <c r="N4" s="3">
        <v>22.239043378997199</v>
      </c>
    </row>
    <row r="5" spans="1:20" x14ac:dyDescent="0.3">
      <c r="A5">
        <v>0</v>
      </c>
      <c r="B5">
        <v>0</v>
      </c>
      <c r="C5">
        <v>3.9895772113532431</v>
      </c>
      <c r="D5">
        <v>8.8219288934771516</v>
      </c>
      <c r="E5">
        <v>11.153817670618807</v>
      </c>
      <c r="F5">
        <v>13.247509891393211</v>
      </c>
      <c r="G5">
        <v>19.426125506032861</v>
      </c>
      <c r="H5">
        <v>100</v>
      </c>
      <c r="I5">
        <v>100</v>
      </c>
      <c r="J5">
        <v>100</v>
      </c>
      <c r="K5">
        <f ca="1"/>
        <v>100</v>
      </c>
      <c r="M5">
        <f t="shared" ca="1" si="0"/>
        <v>96</v>
      </c>
      <c r="N5" s="3">
        <v>22.776369336142398</v>
      </c>
    </row>
    <row r="6" spans="1:20" x14ac:dyDescent="0.3">
      <c r="A6">
        <v>0</v>
      </c>
      <c r="B6">
        <v>0</v>
      </c>
      <c r="C6">
        <v>2.2080057394145816</v>
      </c>
      <c r="D6">
        <v>5.600300601607529</v>
      </c>
      <c r="E6">
        <v>7.3564830002227497</v>
      </c>
      <c r="F6">
        <v>9.3304921331161168</v>
      </c>
      <c r="G6">
        <v>17.059244777296019</v>
      </c>
      <c r="H6">
        <v>60.260653455528669</v>
      </c>
      <c r="I6">
        <v>100</v>
      </c>
      <c r="J6">
        <v>100</v>
      </c>
      <c r="K6">
        <f ca="1"/>
        <v>100</v>
      </c>
      <c r="M6">
        <f t="shared" ca="1" si="0"/>
        <v>96</v>
      </c>
      <c r="N6" s="3">
        <v>23.614348687837499</v>
      </c>
    </row>
    <row r="7" spans="1:20" x14ac:dyDescent="0.3">
      <c r="A7">
        <v>0</v>
      </c>
      <c r="B7">
        <v>0</v>
      </c>
      <c r="C7">
        <v>0</v>
      </c>
      <c r="D7">
        <v>0</v>
      </c>
      <c r="E7">
        <v>1.8661280198736403</v>
      </c>
      <c r="F7">
        <v>3.9603075672009602</v>
      </c>
      <c r="G7">
        <v>8.6020178224196151</v>
      </c>
      <c r="H7">
        <v>19.525118472779205</v>
      </c>
      <c r="I7">
        <v>61.427239094785634</v>
      </c>
      <c r="J7">
        <v>100</v>
      </c>
      <c r="K7">
        <f ca="1"/>
        <v>100</v>
      </c>
      <c r="M7">
        <f t="shared" ca="1" si="0"/>
        <v>96</v>
      </c>
      <c r="N7" s="3">
        <v>29.2129240867561</v>
      </c>
    </row>
    <row r="8" spans="1:20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5.8973594513672243</v>
      </c>
      <c r="I8">
        <v>54.959764531666558</v>
      </c>
      <c r="J8">
        <v>54.983598882759402</v>
      </c>
      <c r="K8">
        <f ca="1"/>
        <v>54.983598882759402</v>
      </c>
      <c r="M8">
        <f t="shared" ca="1" si="0"/>
        <v>96</v>
      </c>
      <c r="N8" s="3">
        <v>40.067658763610901</v>
      </c>
    </row>
    <row r="9" spans="1:20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1.9569960109813656</v>
      </c>
      <c r="I9">
        <v>22.658382835888606</v>
      </c>
      <c r="J9">
        <v>69.299220135985365</v>
      </c>
      <c r="K9">
        <f ca="1"/>
        <v>69.299220135985365</v>
      </c>
      <c r="M9">
        <f t="shared" ca="1" si="0"/>
        <v>96</v>
      </c>
      <c r="N9" s="3">
        <v>41.037422700583498</v>
      </c>
    </row>
    <row r="10" spans="1:20" x14ac:dyDescent="0.3">
      <c r="A10">
        <v>0</v>
      </c>
      <c r="B10">
        <v>0</v>
      </c>
      <c r="C10">
        <v>0</v>
      </c>
      <c r="D10">
        <v>9.3985051851660145E-2</v>
      </c>
      <c r="E10">
        <v>2.2160440561890091</v>
      </c>
      <c r="F10">
        <v>5.0295205877728968</v>
      </c>
      <c r="G10">
        <v>11.745045751633986</v>
      </c>
      <c r="H10">
        <v>41.985143160099121</v>
      </c>
      <c r="I10">
        <v>66.281011611142716</v>
      </c>
      <c r="J10">
        <v>100</v>
      </c>
      <c r="K10">
        <f ca="1"/>
        <v>100</v>
      </c>
      <c r="M10">
        <f t="shared" ca="1" si="0"/>
        <v>96</v>
      </c>
      <c r="N10" s="3">
        <v>27.5770936073068</v>
      </c>
    </row>
    <row r="11" spans="1:20" x14ac:dyDescent="0.3">
      <c r="A11">
        <v>0</v>
      </c>
      <c r="B11">
        <v>0</v>
      </c>
      <c r="C11">
        <v>1.5193411058878779</v>
      </c>
      <c r="D11">
        <v>3.6553289961821607</v>
      </c>
      <c r="E11">
        <v>8.4494266847839032</v>
      </c>
      <c r="F11">
        <v>9.5048221384231013</v>
      </c>
      <c r="G11">
        <v>21.035066799601189</v>
      </c>
      <c r="H11">
        <v>100</v>
      </c>
      <c r="I11">
        <v>100</v>
      </c>
      <c r="J11">
        <v>100</v>
      </c>
      <c r="K11">
        <f ca="1"/>
        <v>100</v>
      </c>
      <c r="M11">
        <f t="shared" ca="1" si="0"/>
        <v>96</v>
      </c>
      <c r="N11" s="3">
        <v>22.251264383561601</v>
      </c>
    </row>
    <row r="12" spans="1:20" x14ac:dyDescent="0.3">
      <c r="A12">
        <v>0</v>
      </c>
      <c r="B12">
        <v>0</v>
      </c>
      <c r="C12">
        <v>2.1880002092487967</v>
      </c>
      <c r="D12">
        <v>4.0645840257006762</v>
      </c>
      <c r="E12">
        <v>4.5844966690001758</v>
      </c>
      <c r="F12">
        <v>6.2709803702273375</v>
      </c>
      <c r="G12">
        <v>14.834133311988188</v>
      </c>
      <c r="H12">
        <v>100</v>
      </c>
      <c r="I12">
        <v>100</v>
      </c>
      <c r="J12">
        <v>100</v>
      </c>
      <c r="K12">
        <f ca="1"/>
        <v>100</v>
      </c>
      <c r="M12">
        <f t="shared" ca="1" si="0"/>
        <v>96</v>
      </c>
      <c r="N12" s="3">
        <v>21.970527748507699</v>
      </c>
    </row>
    <row r="13" spans="1:20" x14ac:dyDescent="0.3">
      <c r="A13">
        <v>0</v>
      </c>
      <c r="B13">
        <v>0</v>
      </c>
      <c r="C13">
        <v>2.9459484677281287</v>
      </c>
      <c r="D13">
        <v>4.2289849486853823</v>
      </c>
      <c r="E13">
        <v>6.1969213836698458</v>
      </c>
      <c r="F13">
        <v>7.414692765981278</v>
      </c>
      <c r="G13">
        <v>12.685155297901773</v>
      </c>
      <c r="H13">
        <v>100</v>
      </c>
      <c r="I13">
        <v>100</v>
      </c>
      <c r="J13">
        <v>100</v>
      </c>
      <c r="K13">
        <f ca="1"/>
        <v>100</v>
      </c>
      <c r="M13">
        <f t="shared" ca="1" si="0"/>
        <v>96</v>
      </c>
      <c r="N13" s="3">
        <v>23.277410958904898</v>
      </c>
    </row>
    <row r="14" spans="1:20" x14ac:dyDescent="0.3">
      <c r="A14">
        <v>0</v>
      </c>
      <c r="B14">
        <v>0</v>
      </c>
      <c r="C14">
        <v>0</v>
      </c>
      <c r="D14">
        <v>5.3819667111164371</v>
      </c>
      <c r="E14">
        <v>5.7895038530065523</v>
      </c>
      <c r="F14">
        <v>8.4091195186416403</v>
      </c>
      <c r="G14">
        <v>10.831990801114552</v>
      </c>
      <c r="H14">
        <v>55.125981225877744</v>
      </c>
      <c r="I14">
        <v>100</v>
      </c>
      <c r="J14">
        <v>100</v>
      </c>
      <c r="K14">
        <f ca="1"/>
        <v>100</v>
      </c>
      <c r="M14">
        <f t="shared" ca="1" si="0"/>
        <v>96</v>
      </c>
      <c r="N14" s="3">
        <v>24.931159817355201</v>
      </c>
    </row>
    <row r="15" spans="1:20" x14ac:dyDescent="0.3">
      <c r="A15">
        <v>0</v>
      </c>
      <c r="B15">
        <v>0</v>
      </c>
      <c r="C15">
        <v>0</v>
      </c>
      <c r="D15">
        <v>0</v>
      </c>
      <c r="E15">
        <v>1.2049055903386119</v>
      </c>
      <c r="F15">
        <v>1.2207829128385583</v>
      </c>
      <c r="G15">
        <v>1.5046007630533722</v>
      </c>
      <c r="H15">
        <v>3.0147719802359005</v>
      </c>
      <c r="I15">
        <v>9.2090548970120203</v>
      </c>
      <c r="J15">
        <v>100</v>
      </c>
      <c r="K15">
        <f ca="1"/>
        <v>100</v>
      </c>
      <c r="M15">
        <f t="shared" ca="1" si="0"/>
        <v>96</v>
      </c>
      <c r="N15" s="3">
        <v>32.421539471375297</v>
      </c>
    </row>
    <row r="16" spans="1:20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2.7724642191203928</v>
      </c>
      <c r="I16">
        <v>4.6002895053078268</v>
      </c>
      <c r="J16">
        <v>6.1130194705613849</v>
      </c>
      <c r="K16">
        <f ca="1"/>
        <v>6.1130194705613849</v>
      </c>
      <c r="M16">
        <f t="shared" ca="1" si="0"/>
        <v>96</v>
      </c>
      <c r="N16" s="3">
        <v>54.8225483171109</v>
      </c>
    </row>
    <row r="17" spans="1:14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5.6319092144995233</v>
      </c>
      <c r="K17">
        <f ca="1"/>
        <v>5.6319092144995233</v>
      </c>
      <c r="M17">
        <f t="shared" ca="1" si="0"/>
        <v>96</v>
      </c>
      <c r="N17" s="3">
        <v>79.635087987352506</v>
      </c>
    </row>
    <row r="18" spans="1:14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2.8308249728051589</v>
      </c>
      <c r="K18">
        <f ca="1"/>
        <v>2.8308249728051589</v>
      </c>
      <c r="M18">
        <f t="shared" ca="1" si="0"/>
        <v>96</v>
      </c>
      <c r="N18" s="3">
        <v>116.005141552515</v>
      </c>
    </row>
    <row r="19" spans="1:14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0.85376952854306998</v>
      </c>
      <c r="K19">
        <f ca="1"/>
        <v>0.85376952854306998</v>
      </c>
      <c r="M19">
        <f t="shared" ca="1" si="0"/>
        <v>96</v>
      </c>
      <c r="N19" s="3">
        <v>108.78282525466</v>
      </c>
    </row>
    <row r="20" spans="1:14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f ca="1"/>
        <v>0</v>
      </c>
      <c r="M20">
        <f t="shared" ca="1" si="0"/>
        <v>96</v>
      </c>
      <c r="N20" s="3">
        <v>127.679706884439</v>
      </c>
    </row>
    <row r="21" spans="1:14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f ca="1"/>
        <v>0</v>
      </c>
      <c r="M21">
        <f t="shared" ca="1" si="0"/>
        <v>96</v>
      </c>
      <c r="N21" s="3">
        <v>201.66671981859099</v>
      </c>
    </row>
    <row r="22" spans="1:14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5.3357756948753873E-2</v>
      </c>
      <c r="K22">
        <f ca="1"/>
        <v>5.3357756948753873E-2</v>
      </c>
      <c r="M22">
        <f t="shared" ca="1" si="0"/>
        <v>96</v>
      </c>
      <c r="N22" s="3">
        <v>108.16938127853901</v>
      </c>
    </row>
    <row r="23" spans="1:14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0.20933652526412447</v>
      </c>
      <c r="G23">
        <v>0.22306175318538735</v>
      </c>
      <c r="H23">
        <v>2.6922143155018476</v>
      </c>
      <c r="I23">
        <v>15.935966970882204</v>
      </c>
      <c r="J23">
        <v>100</v>
      </c>
      <c r="K23">
        <f ca="1"/>
        <v>100</v>
      </c>
      <c r="M23">
        <f t="shared" ca="1" si="0"/>
        <v>96</v>
      </c>
      <c r="N23" s="3">
        <v>37.688359501227303</v>
      </c>
    </row>
    <row r="24" spans="1:14" x14ac:dyDescent="0.3">
      <c r="A24">
        <v>0</v>
      </c>
      <c r="B24">
        <v>0</v>
      </c>
      <c r="C24">
        <v>0</v>
      </c>
      <c r="D24">
        <v>0.82443078298063077</v>
      </c>
      <c r="E24">
        <v>1.7681089838991446</v>
      </c>
      <c r="F24">
        <v>3.3428595422658085</v>
      </c>
      <c r="G24">
        <v>6.4979893608595356</v>
      </c>
      <c r="H24">
        <v>14.46146041734691</v>
      </c>
      <c r="I24">
        <v>100</v>
      </c>
      <c r="J24">
        <v>100</v>
      </c>
      <c r="K24">
        <f ca="1"/>
        <v>100</v>
      </c>
      <c r="M24">
        <f t="shared" ca="1" si="0"/>
        <v>96</v>
      </c>
      <c r="N24" s="3">
        <v>29.753302423602701</v>
      </c>
    </row>
    <row r="25" spans="1:14" x14ac:dyDescent="0.3">
      <c r="A25">
        <v>0</v>
      </c>
      <c r="B25">
        <v>0</v>
      </c>
      <c r="C25">
        <v>0</v>
      </c>
      <c r="D25">
        <v>4.3559486710806699</v>
      </c>
      <c r="E25">
        <v>11.253283319422053</v>
      </c>
      <c r="F25">
        <v>16.91317525539824</v>
      </c>
      <c r="G25">
        <v>31.521742932058025</v>
      </c>
      <c r="H25">
        <v>100</v>
      </c>
      <c r="I25">
        <v>100</v>
      </c>
      <c r="J25">
        <v>100</v>
      </c>
      <c r="K25">
        <f ca="1"/>
        <v>100</v>
      </c>
      <c r="M25">
        <f t="shared" ca="1" si="0"/>
        <v>96</v>
      </c>
      <c r="N25" s="3">
        <v>13.010692784383499</v>
      </c>
    </row>
    <row r="27" spans="1:14" x14ac:dyDescent="0.3">
      <c r="A27">
        <v>0</v>
      </c>
      <c r="B27">
        <v>5.3</v>
      </c>
      <c r="C27">
        <v>15.3</v>
      </c>
      <c r="D27">
        <v>19.600000000000001</v>
      </c>
      <c r="E27">
        <v>22.7</v>
      </c>
      <c r="F27">
        <v>26.2</v>
      </c>
      <c r="G27">
        <v>31.8</v>
      </c>
      <c r="H27">
        <v>40.1</v>
      </c>
      <c r="I27">
        <v>53.2</v>
      </c>
      <c r="J27">
        <v>96</v>
      </c>
      <c r="K27">
        <f ca="1">OFFSET(A27,0,Q1-1)</f>
        <v>96</v>
      </c>
    </row>
    <row r="30" spans="1:14" x14ac:dyDescent="0.3">
      <c r="A30" s="4" t="s">
        <v>4</v>
      </c>
      <c r="B30" s="4" t="s">
        <v>3</v>
      </c>
    </row>
    <row r="31" spans="1:14" x14ac:dyDescent="0.3">
      <c r="A31" s="4">
        <v>1</v>
      </c>
      <c r="B31" s="5">
        <v>-58.12300045202786</v>
      </c>
      <c r="C31" s="5">
        <v>-18.469388190949211</v>
      </c>
      <c r="D31" s="5">
        <v>-2.3306619993255744</v>
      </c>
      <c r="E31">
        <v>1</v>
      </c>
      <c r="F31">
        <f>1000</f>
        <v>1000</v>
      </c>
    </row>
    <row r="32" spans="1:14" x14ac:dyDescent="0.3">
      <c r="A32" s="4">
        <v>2</v>
      </c>
      <c r="B32" s="5">
        <v>-42.470988605225223</v>
      </c>
      <c r="C32" s="5">
        <v>-13.3429848271861</v>
      </c>
      <c r="D32" s="5">
        <v>-1.128497143972812</v>
      </c>
      <c r="E32">
        <v>1</v>
      </c>
    </row>
    <row r="33" spans="1:5" x14ac:dyDescent="0.3">
      <c r="A33" s="4">
        <v>3</v>
      </c>
      <c r="B33" s="5">
        <v>-19.20282270433454</v>
      </c>
      <c r="C33" s="5">
        <v>-6.3173916061572708</v>
      </c>
      <c r="D33" s="5">
        <v>-0.14468815250757416</v>
      </c>
      <c r="E33">
        <v>1</v>
      </c>
    </row>
    <row r="34" spans="1:5" x14ac:dyDescent="0.3">
      <c r="A34" s="4">
        <v>4</v>
      </c>
      <c r="B34" s="5">
        <v>-12.891704341435101</v>
      </c>
      <c r="C34" s="5">
        <v>-3.4460998794796214</v>
      </c>
      <c r="D34" s="5">
        <v>2.4652562615769078</v>
      </c>
      <c r="E34">
        <v>1</v>
      </c>
    </row>
    <row r="35" spans="1:5" x14ac:dyDescent="0.3">
      <c r="A35" s="4">
        <v>5</v>
      </c>
      <c r="B35" s="5">
        <v>-11.670093175127757</v>
      </c>
      <c r="C35" s="5">
        <v>-3.2929751588113443</v>
      </c>
      <c r="D35" s="5">
        <v>4.446028925886738</v>
      </c>
      <c r="E35">
        <v>1</v>
      </c>
    </row>
    <row r="36" spans="1:5" x14ac:dyDescent="0.3">
      <c r="A36" s="4">
        <v>6</v>
      </c>
      <c r="B36" s="5">
        <v>-11.306733579409483</v>
      </c>
      <c r="C36" s="5">
        <v>-3.1464771087689152</v>
      </c>
      <c r="D36" s="5">
        <v>5.6726878641316674</v>
      </c>
      <c r="E36">
        <v>1</v>
      </c>
    </row>
    <row r="37" spans="1:5" x14ac:dyDescent="0.3">
      <c r="A37" s="4">
        <v>7</v>
      </c>
      <c r="B37" s="5">
        <v>-3.4460998794796214</v>
      </c>
      <c r="C37" s="5">
        <v>-0.10160393218531136</v>
      </c>
      <c r="D37" s="5">
        <v>6.4945461393596995</v>
      </c>
      <c r="E37">
        <v>1</v>
      </c>
    </row>
    <row r="38" spans="1:5" x14ac:dyDescent="0.3">
      <c r="A38" s="4">
        <v>8</v>
      </c>
      <c r="B38" s="5">
        <v>-3.2929751588113443</v>
      </c>
      <c r="C38" s="5">
        <v>0.2033585742663869</v>
      </c>
      <c r="D38" s="5">
        <v>6.8716116717763462</v>
      </c>
      <c r="E38">
        <v>1</v>
      </c>
    </row>
    <row r="39" spans="1:5" x14ac:dyDescent="0.3">
      <c r="A39" s="4">
        <v>9</v>
      </c>
      <c r="B39" s="5">
        <v>-2.4384136522345772</v>
      </c>
      <c r="C39" s="5">
        <v>1.3227728115888018</v>
      </c>
      <c r="D39" s="5">
        <v>8.1436390081617809</v>
      </c>
      <c r="E39">
        <v>1</v>
      </c>
    </row>
    <row r="40" spans="1:5" x14ac:dyDescent="0.3">
      <c r="A40" s="4">
        <v>10</v>
      </c>
      <c r="B40" s="5">
        <v>-2.3066221016785615</v>
      </c>
      <c r="C40" s="5">
        <v>2.227233529216647</v>
      </c>
      <c r="D40" s="5">
        <v>8.1560416523345207</v>
      </c>
      <c r="E40">
        <v>1</v>
      </c>
    </row>
    <row r="41" spans="1:5" x14ac:dyDescent="0.3">
      <c r="A41" s="4">
        <v>11</v>
      </c>
      <c r="B41" s="5">
        <v>-1.9881037513978908</v>
      </c>
      <c r="C41" s="5">
        <v>2.4294063603223366</v>
      </c>
      <c r="D41" s="5">
        <v>9.3914841823202586</v>
      </c>
      <c r="E41">
        <v>1</v>
      </c>
    </row>
    <row r="42" spans="1:5" x14ac:dyDescent="0.3">
      <c r="A42" s="4">
        <v>12</v>
      </c>
      <c r="B42" s="5">
        <v>-0.10160393218531136</v>
      </c>
      <c r="C42" s="5">
        <v>3.0990524026680513</v>
      </c>
      <c r="D42" s="5">
        <v>9.5754730111254549</v>
      </c>
      <c r="E42">
        <v>1</v>
      </c>
    </row>
    <row r="43" spans="1:5" x14ac:dyDescent="0.3">
      <c r="A43" s="4">
        <v>13</v>
      </c>
      <c r="B43" s="5">
        <v>1.8050486729575796</v>
      </c>
      <c r="C43" s="5">
        <v>4.4183765711976193</v>
      </c>
      <c r="D43" s="5">
        <v>9.8830341948170801</v>
      </c>
      <c r="E43">
        <f t="shared" ref="E43:E62" si="1">MOD(A43,3)</f>
        <v>1</v>
      </c>
    </row>
    <row r="44" spans="1:5" x14ac:dyDescent="0.3">
      <c r="A44" s="4">
        <v>16</v>
      </c>
      <c r="B44" s="5">
        <v>2.4294063603223366</v>
      </c>
      <c r="C44" s="5">
        <v>6.5880962107069223</v>
      </c>
      <c r="D44" s="5">
        <v>13.710830398304978</v>
      </c>
      <c r="E44">
        <f t="shared" si="1"/>
        <v>1</v>
      </c>
    </row>
    <row r="45" spans="1:5" x14ac:dyDescent="0.3">
      <c r="A45" s="4">
        <v>19</v>
      </c>
      <c r="B45" s="5">
        <v>5.0502892404216952</v>
      </c>
      <c r="C45" s="5">
        <v>7.5879165269235411</v>
      </c>
      <c r="D45" s="5">
        <v>14.943236140921995</v>
      </c>
      <c r="E45">
        <f t="shared" si="1"/>
        <v>1</v>
      </c>
    </row>
    <row r="46" spans="1:5" x14ac:dyDescent="0.3">
      <c r="A46" s="4">
        <v>22</v>
      </c>
      <c r="B46" s="5">
        <v>7.7771145511483217</v>
      </c>
      <c r="C46" s="5">
        <v>8.3295061664962624</v>
      </c>
      <c r="D46" s="5">
        <v>15.883058092433547</v>
      </c>
      <c r="E46">
        <f t="shared" si="1"/>
        <v>1</v>
      </c>
    </row>
    <row r="47" spans="1:5" x14ac:dyDescent="0.3">
      <c r="A47" s="4">
        <v>25</v>
      </c>
      <c r="B47" s="5">
        <v>8.2397599974789433</v>
      </c>
      <c r="C47" s="5">
        <v>10.065258630215192</v>
      </c>
      <c r="D47" s="5">
        <v>16.918259787907935</v>
      </c>
      <c r="E47">
        <f t="shared" si="1"/>
        <v>1</v>
      </c>
    </row>
    <row r="48" spans="1:5" x14ac:dyDescent="0.3">
      <c r="A48" s="4">
        <v>28</v>
      </c>
      <c r="B48" s="5">
        <v>9.9011180188295285</v>
      </c>
      <c r="C48" s="5">
        <v>12.514485138720556</v>
      </c>
      <c r="D48" s="5">
        <v>18.53728484253352</v>
      </c>
      <c r="E48">
        <f t="shared" si="1"/>
        <v>1</v>
      </c>
    </row>
    <row r="49" spans="1:5" x14ac:dyDescent="0.3">
      <c r="A49" s="4">
        <v>31</v>
      </c>
      <c r="B49" s="5">
        <v>11.038215485317817</v>
      </c>
      <c r="C49" s="5">
        <v>13.18319057013704</v>
      </c>
      <c r="D49" s="5">
        <v>20.305647384312579</v>
      </c>
      <c r="E49">
        <f t="shared" si="1"/>
        <v>1</v>
      </c>
    </row>
    <row r="50" spans="1:5" x14ac:dyDescent="0.3">
      <c r="A50" s="4">
        <v>34</v>
      </c>
      <c r="B50" s="5">
        <v>12.707404052716612</v>
      </c>
      <c r="C50" s="5">
        <v>14.604680256117211</v>
      </c>
      <c r="D50" s="5">
        <v>21.156957647004724</v>
      </c>
      <c r="E50">
        <f t="shared" si="1"/>
        <v>1</v>
      </c>
    </row>
    <row r="51" spans="1:5" x14ac:dyDescent="0.3">
      <c r="A51" s="4">
        <v>37</v>
      </c>
      <c r="B51" s="5">
        <v>13.156009318283848</v>
      </c>
      <c r="C51" s="5">
        <v>15.381491737143776</v>
      </c>
      <c r="D51" s="5">
        <v>21.466806351391398</v>
      </c>
      <c r="E51">
        <f t="shared" si="1"/>
        <v>1</v>
      </c>
    </row>
    <row r="52" spans="1:5" x14ac:dyDescent="0.3">
      <c r="A52" s="4">
        <v>40</v>
      </c>
      <c r="B52" s="5">
        <v>14.548890915259983</v>
      </c>
      <c r="C52" s="5">
        <v>16.296943161315884</v>
      </c>
      <c r="D52" s="5">
        <v>22.65612168681665</v>
      </c>
      <c r="E52">
        <f t="shared" si="1"/>
        <v>1</v>
      </c>
    </row>
    <row r="53" spans="1:5" x14ac:dyDescent="0.3">
      <c r="A53" s="4">
        <v>43</v>
      </c>
      <c r="B53" s="5">
        <v>16.507131070943878</v>
      </c>
      <c r="C53" s="5">
        <v>16.59060598094436</v>
      </c>
      <c r="D53" s="5">
        <v>23.802042856052154</v>
      </c>
      <c r="E53">
        <f t="shared" si="1"/>
        <v>1</v>
      </c>
    </row>
    <row r="54" spans="1:5" x14ac:dyDescent="0.3">
      <c r="A54" s="4">
        <v>46</v>
      </c>
      <c r="B54" s="5">
        <v>16.817849591941396</v>
      </c>
      <c r="C54" s="5">
        <v>17.503044085363765</v>
      </c>
      <c r="D54" s="5">
        <v>24.98351195270477</v>
      </c>
      <c r="E54">
        <f t="shared" si="1"/>
        <v>1</v>
      </c>
    </row>
    <row r="55" spans="1:5" x14ac:dyDescent="0.3">
      <c r="A55" s="4">
        <v>49</v>
      </c>
      <c r="B55" s="5">
        <v>18.243261652229606</v>
      </c>
      <c r="C55" s="5">
        <v>19.389053838513181</v>
      </c>
      <c r="D55" s="5">
        <v>25.433205666249098</v>
      </c>
      <c r="E55">
        <f t="shared" si="1"/>
        <v>1</v>
      </c>
    </row>
    <row r="56" spans="1:5" x14ac:dyDescent="0.3">
      <c r="A56" s="4">
        <v>52</v>
      </c>
      <c r="B56" s="5">
        <v>19.812600321363011</v>
      </c>
      <c r="C56" s="5">
        <v>19.774858706557584</v>
      </c>
      <c r="D56" s="5">
        <v>26.695555555555554</v>
      </c>
      <c r="E56">
        <f t="shared" si="1"/>
        <v>1</v>
      </c>
    </row>
    <row r="57" spans="1:5" x14ac:dyDescent="0.3">
      <c r="A57" s="4">
        <v>55</v>
      </c>
      <c r="B57" s="5">
        <v>21.865646804774464</v>
      </c>
      <c r="C57" s="5">
        <v>20.528537451012451</v>
      </c>
      <c r="D57" s="5">
        <v>28.585665697973297</v>
      </c>
      <c r="E57">
        <f t="shared" si="1"/>
        <v>1</v>
      </c>
    </row>
    <row r="58" spans="1:5" x14ac:dyDescent="0.3">
      <c r="A58" s="4">
        <v>58</v>
      </c>
      <c r="B58" s="5">
        <v>22.51873364973542</v>
      </c>
      <c r="C58" s="5">
        <v>21.008243191415893</v>
      </c>
      <c r="D58" s="5">
        <v>30.097657774975133</v>
      </c>
      <c r="E58">
        <f t="shared" si="1"/>
        <v>1</v>
      </c>
    </row>
    <row r="59" spans="1:5" x14ac:dyDescent="0.3">
      <c r="A59" s="4">
        <v>61</v>
      </c>
      <c r="B59" s="5">
        <v>23.55051752668399</v>
      </c>
      <c r="C59" s="5">
        <v>21.815934977455562</v>
      </c>
      <c r="D59" s="5">
        <v>30.564140863518734</v>
      </c>
      <c r="E59">
        <f t="shared" si="1"/>
        <v>1</v>
      </c>
    </row>
    <row r="60" spans="1:5" x14ac:dyDescent="0.3">
      <c r="A60" s="4">
        <v>64</v>
      </c>
      <c r="B60" s="5">
        <v>23.842790772127007</v>
      </c>
      <c r="C60" s="5">
        <v>22.346239943511883</v>
      </c>
      <c r="D60" s="5">
        <v>31.589523078792158</v>
      </c>
      <c r="E60">
        <f t="shared" si="1"/>
        <v>1</v>
      </c>
    </row>
    <row r="61" spans="1:5" x14ac:dyDescent="0.3">
      <c r="A61" s="4">
        <v>67</v>
      </c>
      <c r="B61" s="5">
        <v>24.916367043314583</v>
      </c>
      <c r="C61" s="5">
        <v>23.538457777873965</v>
      </c>
      <c r="D61" s="5">
        <v>34.332881210833648</v>
      </c>
      <c r="E61">
        <f t="shared" si="1"/>
        <v>1</v>
      </c>
    </row>
    <row r="62" spans="1:5" x14ac:dyDescent="0.3">
      <c r="A62" s="4">
        <v>70</v>
      </c>
      <c r="B62" s="5">
        <v>26.693083666041595</v>
      </c>
      <c r="C62" s="5">
        <v>24.867259184547937</v>
      </c>
      <c r="D62" s="5">
        <v>35.021530764850979</v>
      </c>
      <c r="E62">
        <f t="shared" si="1"/>
        <v>1</v>
      </c>
    </row>
    <row r="63" spans="1:5" x14ac:dyDescent="0.3">
      <c r="A63" s="4">
        <v>73</v>
      </c>
      <c r="B63" s="5">
        <v>27.0244652454464</v>
      </c>
      <c r="C63" s="5">
        <v>25.31699805046814</v>
      </c>
      <c r="D63" s="5">
        <v>36.212602636534847</v>
      </c>
      <c r="E63">
        <f t="shared" ref="E63:E126" si="2">MOD(A63,3)</f>
        <v>1</v>
      </c>
    </row>
    <row r="64" spans="1:5" x14ac:dyDescent="0.3">
      <c r="A64" s="4">
        <v>76</v>
      </c>
      <c r="B64" s="5">
        <v>27.239432045181996</v>
      </c>
      <c r="C64" s="5">
        <v>26.007108609274145</v>
      </c>
      <c r="D64" s="5">
        <v>36.886364726395172</v>
      </c>
      <c r="E64">
        <f t="shared" si="2"/>
        <v>1</v>
      </c>
    </row>
    <row r="65" spans="1:5" x14ac:dyDescent="0.3">
      <c r="A65" s="4">
        <v>79</v>
      </c>
      <c r="B65" s="5">
        <v>27.512329478986665</v>
      </c>
      <c r="C65" s="5">
        <v>26.206296765170453</v>
      </c>
      <c r="D65" s="5">
        <v>37.800065169034077</v>
      </c>
      <c r="E65">
        <f t="shared" si="2"/>
        <v>1</v>
      </c>
    </row>
    <row r="66" spans="1:5" x14ac:dyDescent="0.3">
      <c r="A66" s="4">
        <v>82</v>
      </c>
      <c r="B66" s="5">
        <v>28.093296052737326</v>
      </c>
      <c r="C66" s="5">
        <v>26.492870929343596</v>
      </c>
      <c r="D66" s="5">
        <v>38.147692693358216</v>
      </c>
      <c r="E66">
        <f t="shared" si="2"/>
        <v>1</v>
      </c>
    </row>
    <row r="67" spans="1:5" x14ac:dyDescent="0.3">
      <c r="A67" s="4">
        <v>85</v>
      </c>
      <c r="B67" s="5">
        <v>28.524398392944789</v>
      </c>
      <c r="C67" s="5">
        <v>26.709355439523165</v>
      </c>
      <c r="D67" s="5">
        <v>39.682810749612543</v>
      </c>
      <c r="E67">
        <f t="shared" si="2"/>
        <v>1</v>
      </c>
    </row>
    <row r="68" spans="1:5" x14ac:dyDescent="0.3">
      <c r="A68" s="4">
        <v>88</v>
      </c>
      <c r="B68" s="5">
        <v>29.096364640203912</v>
      </c>
      <c r="C68" s="5">
        <v>27.184251472649084</v>
      </c>
      <c r="D68" s="5">
        <v>40.354869730223328</v>
      </c>
      <c r="E68">
        <f t="shared" si="2"/>
        <v>1</v>
      </c>
    </row>
    <row r="69" spans="1:5" x14ac:dyDescent="0.3">
      <c r="A69" s="4">
        <v>91</v>
      </c>
      <c r="B69" s="5">
        <v>29.494673951049023</v>
      </c>
      <c r="C69" s="5">
        <v>27.445694558283961</v>
      </c>
      <c r="D69" s="5">
        <v>40.902515332247795</v>
      </c>
      <c r="E69">
        <f t="shared" si="2"/>
        <v>1</v>
      </c>
    </row>
    <row r="70" spans="1:5" x14ac:dyDescent="0.3">
      <c r="A70" s="4">
        <v>94</v>
      </c>
      <c r="B70" s="5">
        <v>29.908514927822974</v>
      </c>
      <c r="C70" s="5">
        <v>28.022435381133054</v>
      </c>
      <c r="D70" s="5">
        <v>42.069053926968216</v>
      </c>
      <c r="E70">
        <f t="shared" si="2"/>
        <v>1</v>
      </c>
    </row>
    <row r="71" spans="1:5" x14ac:dyDescent="0.3">
      <c r="A71" s="4">
        <v>97</v>
      </c>
      <c r="B71" s="5">
        <v>30.859231256809945</v>
      </c>
      <c r="C71" s="5">
        <v>28.263431915558513</v>
      </c>
      <c r="D71" s="5">
        <v>43.949167911922856</v>
      </c>
      <c r="E71">
        <f t="shared" si="2"/>
        <v>1</v>
      </c>
    </row>
    <row r="72" spans="1:5" x14ac:dyDescent="0.3">
      <c r="A72" s="4">
        <v>100</v>
      </c>
      <c r="B72" s="5">
        <v>31.539379964868999</v>
      </c>
      <c r="C72" s="5">
        <v>29.062403342150009</v>
      </c>
      <c r="D72" s="5">
        <v>44.500705362409192</v>
      </c>
      <c r="E72">
        <f t="shared" si="2"/>
        <v>1</v>
      </c>
    </row>
    <row r="73" spans="1:5" x14ac:dyDescent="0.3">
      <c r="A73" s="4">
        <v>103</v>
      </c>
      <c r="B73" s="5">
        <v>32.363883332029609</v>
      </c>
      <c r="C73" s="5">
        <v>29.910774596272557</v>
      </c>
      <c r="D73" s="5">
        <v>45.651530188561551</v>
      </c>
      <c r="E73">
        <f t="shared" si="2"/>
        <v>1</v>
      </c>
    </row>
    <row r="74" spans="1:5" x14ac:dyDescent="0.3">
      <c r="A74" s="4">
        <v>106</v>
      </c>
      <c r="B74" s="5">
        <v>34.110645358437203</v>
      </c>
      <c r="C74" s="5">
        <v>30.795845858075477</v>
      </c>
      <c r="D74" s="5">
        <v>47.220350147758815</v>
      </c>
      <c r="E74">
        <f t="shared" si="2"/>
        <v>1</v>
      </c>
    </row>
    <row r="75" spans="1:5" x14ac:dyDescent="0.3">
      <c r="A75" s="4">
        <v>109</v>
      </c>
      <c r="B75" s="5">
        <v>35.335725047084821</v>
      </c>
      <c r="C75" s="5">
        <v>31.139522897743763</v>
      </c>
      <c r="D75" s="5">
        <v>48.027009953933067</v>
      </c>
      <c r="E75">
        <f t="shared" si="2"/>
        <v>1</v>
      </c>
    </row>
    <row r="76" spans="1:5" x14ac:dyDescent="0.3">
      <c r="A76" s="4">
        <v>112</v>
      </c>
      <c r="B76" s="5">
        <v>35.886127296929793</v>
      </c>
      <c r="C76" s="5">
        <v>32.337174128773583</v>
      </c>
      <c r="D76" s="5">
        <v>48.384468545630554</v>
      </c>
      <c r="E76">
        <f t="shared" si="2"/>
        <v>1</v>
      </c>
    </row>
    <row r="77" spans="1:5" x14ac:dyDescent="0.3">
      <c r="A77" s="4">
        <v>115</v>
      </c>
      <c r="B77" s="5">
        <v>36.207092170737454</v>
      </c>
      <c r="C77" s="5">
        <v>32.685651629604827</v>
      </c>
      <c r="D77" s="5">
        <v>48.827138277514941</v>
      </c>
      <c r="E77">
        <f t="shared" si="2"/>
        <v>1</v>
      </c>
    </row>
    <row r="78" spans="1:5" x14ac:dyDescent="0.3">
      <c r="A78" s="4">
        <v>118</v>
      </c>
      <c r="B78" s="5">
        <v>36.423813217779355</v>
      </c>
      <c r="C78" s="5">
        <v>33.778320937775284</v>
      </c>
      <c r="D78" s="5">
        <v>49.307465160075338</v>
      </c>
      <c r="E78">
        <f t="shared" si="2"/>
        <v>1</v>
      </c>
    </row>
    <row r="79" spans="1:5" x14ac:dyDescent="0.3">
      <c r="A79" s="4">
        <v>121</v>
      </c>
      <c r="B79" s="5">
        <v>39.104760936575964</v>
      </c>
      <c r="C79" s="5">
        <v>34.527174284429769</v>
      </c>
      <c r="D79" s="5">
        <v>50.337702448210919</v>
      </c>
      <c r="E79">
        <f t="shared" si="2"/>
        <v>1</v>
      </c>
    </row>
    <row r="80" spans="1:5" x14ac:dyDescent="0.3">
      <c r="A80" s="4">
        <v>124</v>
      </c>
      <c r="B80" s="5">
        <v>40.051386400371229</v>
      </c>
      <c r="C80" s="5">
        <v>34.915723936128934</v>
      </c>
      <c r="D80" s="5">
        <v>50.649919821622071</v>
      </c>
      <c r="E80">
        <f t="shared" si="2"/>
        <v>1</v>
      </c>
    </row>
    <row r="81" spans="1:5" x14ac:dyDescent="0.3">
      <c r="A81" s="4">
        <v>127</v>
      </c>
      <c r="B81" s="5">
        <v>41.586399683660268</v>
      </c>
      <c r="C81" s="5">
        <v>35.643284867861205</v>
      </c>
      <c r="D81" s="5">
        <v>50.965217614800608</v>
      </c>
      <c r="E81">
        <f t="shared" si="2"/>
        <v>1</v>
      </c>
    </row>
    <row r="82" spans="1:5" x14ac:dyDescent="0.3">
      <c r="A82" s="4">
        <v>130</v>
      </c>
      <c r="B82" s="5">
        <v>42.463873993694612</v>
      </c>
      <c r="C82" s="5">
        <v>36.110755907139286</v>
      </c>
      <c r="D82" s="5">
        <v>52.581603646820255</v>
      </c>
      <c r="E82">
        <f t="shared" si="2"/>
        <v>1</v>
      </c>
    </row>
    <row r="83" spans="1:5" x14ac:dyDescent="0.3">
      <c r="A83" s="4">
        <v>133</v>
      </c>
      <c r="B83" s="5">
        <v>43.088131746381862</v>
      </c>
      <c r="C83" s="5">
        <v>36.564155168899937</v>
      </c>
      <c r="D83" s="5">
        <v>53.466080549144181</v>
      </c>
      <c r="E83">
        <f t="shared" si="2"/>
        <v>1</v>
      </c>
    </row>
    <row r="84" spans="1:5" x14ac:dyDescent="0.3">
      <c r="A84" s="4">
        <v>136</v>
      </c>
      <c r="B84" s="5">
        <v>44.442873079704647</v>
      </c>
      <c r="C84" s="5">
        <v>37.018803457682111</v>
      </c>
      <c r="D84" s="5">
        <v>53.839549870169144</v>
      </c>
      <c r="E84">
        <f t="shared" si="2"/>
        <v>1</v>
      </c>
    </row>
    <row r="85" spans="1:5" x14ac:dyDescent="0.3">
      <c r="A85" s="4">
        <v>139</v>
      </c>
      <c r="B85" s="5">
        <v>44.888713807887989</v>
      </c>
      <c r="C85" s="5">
        <v>38.213427418087093</v>
      </c>
      <c r="D85" s="5">
        <v>54.829313228011124</v>
      </c>
      <c r="E85">
        <f t="shared" si="2"/>
        <v>1</v>
      </c>
    </row>
    <row r="86" spans="1:5" x14ac:dyDescent="0.3">
      <c r="A86" s="4">
        <v>142</v>
      </c>
      <c r="B86" s="5">
        <v>46.403904399227123</v>
      </c>
      <c r="C86" s="5">
        <v>38.995773055533427</v>
      </c>
      <c r="D86" s="5">
        <v>55.947676082862522</v>
      </c>
      <c r="E86">
        <f t="shared" si="2"/>
        <v>1</v>
      </c>
    </row>
    <row r="87" spans="1:5" x14ac:dyDescent="0.3">
      <c r="A87" s="4">
        <v>145</v>
      </c>
      <c r="B87" s="5">
        <v>47.284512703093327</v>
      </c>
      <c r="C87" s="5">
        <v>40.780376102824583</v>
      </c>
      <c r="D87" s="5">
        <v>57.452557714657338</v>
      </c>
      <c r="E87">
        <f t="shared" si="2"/>
        <v>1</v>
      </c>
    </row>
    <row r="88" spans="1:5" x14ac:dyDescent="0.3">
      <c r="A88" s="4">
        <v>148</v>
      </c>
      <c r="B88" s="5">
        <v>48.157646772114951</v>
      </c>
      <c r="C88" s="5">
        <v>41.086482385427807</v>
      </c>
      <c r="D88" s="5">
        <v>58.317334258592922</v>
      </c>
      <c r="E88">
        <f t="shared" si="2"/>
        <v>1</v>
      </c>
    </row>
    <row r="89" spans="1:5" x14ac:dyDescent="0.3">
      <c r="A89" s="4">
        <v>151</v>
      </c>
      <c r="B89" s="5">
        <v>49.307205820480085</v>
      </c>
      <c r="C89" s="5">
        <v>41.72207468226803</v>
      </c>
      <c r="D89" s="5">
        <v>59.232410142414096</v>
      </c>
      <c r="E89">
        <f t="shared" si="2"/>
        <v>1</v>
      </c>
    </row>
    <row r="90" spans="1:5" x14ac:dyDescent="0.3">
      <c r="A90" s="4">
        <v>154</v>
      </c>
      <c r="B90" s="5">
        <v>50.224316856250553</v>
      </c>
      <c r="C90" s="5">
        <v>42.655660195999268</v>
      </c>
      <c r="D90" s="5">
        <v>61.252599336224776</v>
      </c>
      <c r="E90">
        <f t="shared" si="2"/>
        <v>1</v>
      </c>
    </row>
    <row r="91" spans="1:5" x14ac:dyDescent="0.3">
      <c r="A91" s="4">
        <v>157</v>
      </c>
      <c r="B91" s="5">
        <v>50.430239444961131</v>
      </c>
      <c r="C91" s="5">
        <v>43.250795584069479</v>
      </c>
      <c r="D91" s="5">
        <v>62.210931009034923</v>
      </c>
      <c r="E91">
        <f t="shared" si="2"/>
        <v>1</v>
      </c>
    </row>
    <row r="92" spans="1:5" x14ac:dyDescent="0.3">
      <c r="A92" s="4">
        <v>160</v>
      </c>
      <c r="B92" s="5">
        <v>50.964811746369641</v>
      </c>
      <c r="C92" s="5">
        <v>44.245888569021545</v>
      </c>
      <c r="D92" s="5">
        <v>63.08390144285989</v>
      </c>
      <c r="E92">
        <f t="shared" si="2"/>
        <v>1</v>
      </c>
    </row>
    <row r="93" spans="1:5" x14ac:dyDescent="0.3">
      <c r="A93" s="4">
        <v>163</v>
      </c>
      <c r="B93" s="5">
        <v>51.399746352744479</v>
      </c>
      <c r="C93" s="5">
        <v>44.814862371073787</v>
      </c>
      <c r="D93" s="5">
        <v>63.945593144674127</v>
      </c>
      <c r="E93">
        <f t="shared" si="2"/>
        <v>1</v>
      </c>
    </row>
    <row r="94" spans="1:5" x14ac:dyDescent="0.3">
      <c r="A94" s="4">
        <v>166</v>
      </c>
      <c r="B94" s="5">
        <v>52.2572967255945</v>
      </c>
      <c r="C94" s="5">
        <v>45.82299148941491</v>
      </c>
      <c r="D94" s="5">
        <v>65.620830852372777</v>
      </c>
      <c r="E94">
        <f t="shared" si="2"/>
        <v>1</v>
      </c>
    </row>
    <row r="95" spans="1:5" x14ac:dyDescent="0.3">
      <c r="A95" s="4">
        <v>169</v>
      </c>
      <c r="B95" s="5">
        <v>53.879420552398351</v>
      </c>
      <c r="C95" s="5">
        <v>46.969882613258292</v>
      </c>
      <c r="D95" s="5">
        <v>67.182279585644451</v>
      </c>
      <c r="E95">
        <f t="shared" si="2"/>
        <v>1</v>
      </c>
    </row>
    <row r="96" spans="1:5" x14ac:dyDescent="0.3">
      <c r="A96" s="4">
        <v>172</v>
      </c>
      <c r="B96" s="5">
        <v>54.127266930262898</v>
      </c>
      <c r="C96" s="5">
        <v>47.536260938913777</v>
      </c>
      <c r="D96" s="5">
        <v>68.144354462253915</v>
      </c>
      <c r="E96">
        <f t="shared" si="2"/>
        <v>1</v>
      </c>
    </row>
    <row r="97" spans="1:5" x14ac:dyDescent="0.3">
      <c r="A97" s="4">
        <v>175</v>
      </c>
      <c r="B97" s="5">
        <v>54.916172248395398</v>
      </c>
      <c r="C97" s="5">
        <v>47.986850220010083</v>
      </c>
      <c r="D97" s="5">
        <v>69.250023294236797</v>
      </c>
      <c r="E97">
        <f t="shared" si="2"/>
        <v>1</v>
      </c>
    </row>
    <row r="98" spans="1:5" x14ac:dyDescent="0.3">
      <c r="A98" s="4">
        <v>178</v>
      </c>
      <c r="B98" s="5">
        <v>55.653505855564141</v>
      </c>
      <c r="C98" s="5">
        <v>49.094032387468324</v>
      </c>
      <c r="D98" s="5">
        <v>70.58639170005118</v>
      </c>
      <c r="E98">
        <f t="shared" si="2"/>
        <v>1</v>
      </c>
    </row>
    <row r="99" spans="1:5" x14ac:dyDescent="0.3">
      <c r="A99" s="4">
        <v>181</v>
      </c>
      <c r="B99" s="5">
        <v>56.419764818513066</v>
      </c>
      <c r="C99" s="5">
        <v>49.362461285976408</v>
      </c>
      <c r="D99" s="5">
        <v>71.9460830011231</v>
      </c>
      <c r="E99">
        <f t="shared" si="2"/>
        <v>1</v>
      </c>
    </row>
    <row r="100" spans="1:5" x14ac:dyDescent="0.3">
      <c r="A100" s="4">
        <v>184</v>
      </c>
      <c r="B100" s="5">
        <v>56.947272615221401</v>
      </c>
      <c r="C100" s="5">
        <v>50.120309987839768</v>
      </c>
      <c r="D100" s="5">
        <v>73.109070256322369</v>
      </c>
      <c r="E100">
        <f t="shared" si="2"/>
        <v>1</v>
      </c>
    </row>
    <row r="101" spans="1:5" x14ac:dyDescent="0.3">
      <c r="A101" s="4">
        <v>187</v>
      </c>
      <c r="B101" s="5">
        <v>57.146980354051898</v>
      </c>
      <c r="C101" s="5">
        <v>50.203447867129093</v>
      </c>
      <c r="D101" s="5">
        <v>73.234313175001418</v>
      </c>
      <c r="E101">
        <f t="shared" si="2"/>
        <v>1</v>
      </c>
    </row>
    <row r="102" spans="1:5" x14ac:dyDescent="0.3">
      <c r="A102" s="4">
        <v>190</v>
      </c>
      <c r="B102" s="5">
        <v>57.811373802848358</v>
      </c>
      <c r="C102" s="5">
        <v>50.629558486276188</v>
      </c>
      <c r="D102" s="5">
        <v>74.523286657818048</v>
      </c>
      <c r="E102">
        <f t="shared" si="2"/>
        <v>1</v>
      </c>
    </row>
    <row r="103" spans="1:5" x14ac:dyDescent="0.3">
      <c r="A103" s="4">
        <v>193</v>
      </c>
      <c r="B103" s="5">
        <v>58.334224821074272</v>
      </c>
      <c r="C103" s="5">
        <v>51.190789259192485</v>
      </c>
      <c r="D103" s="5">
        <v>75.287327055397455</v>
      </c>
      <c r="E103">
        <f t="shared" si="2"/>
        <v>1</v>
      </c>
    </row>
    <row r="104" spans="1:5" x14ac:dyDescent="0.3">
      <c r="A104" s="4">
        <v>196</v>
      </c>
      <c r="B104" s="5">
        <v>58.631891658603777</v>
      </c>
      <c r="C104" s="5">
        <v>51.755976391785083</v>
      </c>
      <c r="D104" s="5">
        <v>77.704491708255588</v>
      </c>
      <c r="E104">
        <f t="shared" si="2"/>
        <v>1</v>
      </c>
    </row>
    <row r="105" spans="1:5" x14ac:dyDescent="0.3">
      <c r="A105" s="4">
        <v>199</v>
      </c>
      <c r="B105" s="5">
        <v>59.608755440033818</v>
      </c>
      <c r="C105" s="5">
        <v>52.489207195048358</v>
      </c>
      <c r="D105" s="5">
        <v>78.732548382463278</v>
      </c>
      <c r="E105">
        <f t="shared" si="2"/>
        <v>1</v>
      </c>
    </row>
    <row r="106" spans="1:5" x14ac:dyDescent="0.3">
      <c r="A106" s="4">
        <v>202</v>
      </c>
      <c r="B106" s="5">
        <v>59.920540027614457</v>
      </c>
      <c r="C106" s="5">
        <v>53.579356613067787</v>
      </c>
      <c r="D106" s="5">
        <v>82.09591917092952</v>
      </c>
      <c r="E106">
        <f t="shared" si="2"/>
        <v>1</v>
      </c>
    </row>
    <row r="107" spans="1:5" x14ac:dyDescent="0.3">
      <c r="A107" s="4">
        <v>205</v>
      </c>
      <c r="B107" s="5">
        <v>61.439672951681793</v>
      </c>
      <c r="C107" s="5">
        <v>53.9639307643819</v>
      </c>
      <c r="D107" s="5">
        <v>83.264303907925481</v>
      </c>
      <c r="E107">
        <f t="shared" si="2"/>
        <v>1</v>
      </c>
    </row>
    <row r="108" spans="1:5" x14ac:dyDescent="0.3">
      <c r="A108" s="4">
        <v>208</v>
      </c>
      <c r="B108" s="5">
        <v>63.066299789050156</v>
      </c>
      <c r="C108" s="5">
        <v>55.739732791253466</v>
      </c>
      <c r="D108" s="5">
        <v>85.462098715242348</v>
      </c>
      <c r="E108">
        <f t="shared" si="2"/>
        <v>1</v>
      </c>
    </row>
    <row r="109" spans="1:5" x14ac:dyDescent="0.3">
      <c r="A109" s="4">
        <v>211</v>
      </c>
      <c r="B109" s="5">
        <v>63.985932215978366</v>
      </c>
      <c r="C109" s="5">
        <v>56.419764818513066</v>
      </c>
      <c r="D109" s="5">
        <v>86.024906616748311</v>
      </c>
      <c r="E109">
        <f t="shared" si="2"/>
        <v>1</v>
      </c>
    </row>
    <row r="110" spans="1:5" x14ac:dyDescent="0.3">
      <c r="A110" s="4">
        <v>214</v>
      </c>
      <c r="B110" s="5">
        <v>65.304570694310669</v>
      </c>
      <c r="C110" s="5">
        <v>57.145372192727237</v>
      </c>
      <c r="D110" s="5">
        <v>87.84314116002794</v>
      </c>
      <c r="E110">
        <f t="shared" si="2"/>
        <v>1</v>
      </c>
    </row>
    <row r="111" spans="1:5" x14ac:dyDescent="0.3">
      <c r="A111" s="4">
        <v>217</v>
      </c>
      <c r="B111" s="5">
        <v>66.492638295290774</v>
      </c>
      <c r="C111" s="5">
        <v>57.498825597012939</v>
      </c>
      <c r="D111" s="5">
        <v>89.276952255496028</v>
      </c>
      <c r="E111">
        <f t="shared" si="2"/>
        <v>1</v>
      </c>
    </row>
    <row r="112" spans="1:5" x14ac:dyDescent="0.3">
      <c r="A112" s="4">
        <v>220</v>
      </c>
      <c r="B112" s="5">
        <v>67.007903748905761</v>
      </c>
      <c r="C112" s="5">
        <v>57.752626165870737</v>
      </c>
      <c r="D112" s="5">
        <v>89.84018079096046</v>
      </c>
      <c r="E112">
        <f t="shared" si="2"/>
        <v>1</v>
      </c>
    </row>
    <row r="113" spans="1:5" x14ac:dyDescent="0.3">
      <c r="A113" s="4">
        <v>223</v>
      </c>
      <c r="B113" s="5">
        <v>68.200248672942678</v>
      </c>
      <c r="C113" s="5">
        <v>58.676690732858248</v>
      </c>
      <c r="D113" s="5">
        <v>90.529555872059447</v>
      </c>
      <c r="E113">
        <f t="shared" si="2"/>
        <v>1</v>
      </c>
    </row>
    <row r="114" spans="1:5" x14ac:dyDescent="0.3">
      <c r="A114" s="4">
        <v>226</v>
      </c>
      <c r="B114" s="5">
        <v>69.4736295291939</v>
      </c>
      <c r="C114" s="5">
        <v>59.568923015771439</v>
      </c>
      <c r="D114" s="5">
        <v>93.62030885122411</v>
      </c>
      <c r="E114">
        <f t="shared" si="2"/>
        <v>1</v>
      </c>
    </row>
    <row r="115" spans="1:5" x14ac:dyDescent="0.3">
      <c r="A115" s="4">
        <v>229</v>
      </c>
      <c r="B115" s="5">
        <v>72.51592739484353</v>
      </c>
      <c r="C115" s="5">
        <v>60.340591211984417</v>
      </c>
      <c r="D115" s="5">
        <v>95.355628280858866</v>
      </c>
      <c r="E115">
        <f t="shared" si="2"/>
        <v>1</v>
      </c>
    </row>
    <row r="116" spans="1:5" x14ac:dyDescent="0.3">
      <c r="A116" s="4">
        <v>232</v>
      </c>
      <c r="B116" s="5">
        <v>75.313432760859513</v>
      </c>
      <c r="C116" s="5">
        <v>61.559382002305654</v>
      </c>
      <c r="D116" s="5">
        <v>97.30891270307157</v>
      </c>
      <c r="E116">
        <f t="shared" si="2"/>
        <v>1</v>
      </c>
    </row>
    <row r="117" spans="1:5" x14ac:dyDescent="0.3">
      <c r="A117" s="4">
        <v>235</v>
      </c>
      <c r="B117" s="5">
        <v>78.239269875699364</v>
      </c>
      <c r="C117" s="5">
        <v>61.896971005940948</v>
      </c>
      <c r="D117" s="5">
        <v>98.306856714047868</v>
      </c>
      <c r="E117">
        <f t="shared" si="2"/>
        <v>1</v>
      </c>
    </row>
    <row r="118" spans="1:5" x14ac:dyDescent="0.3">
      <c r="A118" s="4">
        <v>238</v>
      </c>
      <c r="B118" s="5">
        <v>79.645894794751115</v>
      </c>
      <c r="C118" s="5">
        <v>63.268091102406544</v>
      </c>
      <c r="D118" s="5">
        <v>101.93126761423942</v>
      </c>
      <c r="E118">
        <f t="shared" si="2"/>
        <v>1</v>
      </c>
    </row>
    <row r="119" spans="1:5" x14ac:dyDescent="0.3">
      <c r="A119" s="4">
        <v>241</v>
      </c>
      <c r="B119" s="5">
        <v>81.654331849412713</v>
      </c>
      <c r="C119" s="5">
        <v>65.755848569439138</v>
      </c>
      <c r="D119" s="5">
        <v>104.47750848583303</v>
      </c>
      <c r="E119">
        <f t="shared" si="2"/>
        <v>1</v>
      </c>
    </row>
    <row r="120" spans="1:5" x14ac:dyDescent="0.3">
      <c r="A120" s="4">
        <v>244</v>
      </c>
      <c r="B120" s="5">
        <v>82.380453747629403</v>
      </c>
      <c r="C120" s="5">
        <v>67.27187773378526</v>
      </c>
      <c r="D120" s="5">
        <v>106.16781864550886</v>
      </c>
      <c r="E120">
        <f t="shared" si="2"/>
        <v>1</v>
      </c>
    </row>
    <row r="121" spans="1:5" x14ac:dyDescent="0.3">
      <c r="A121" s="4">
        <v>247</v>
      </c>
      <c r="B121" s="5">
        <v>84.013576130513528</v>
      </c>
      <c r="C121" s="5">
        <v>68.130345523658377</v>
      </c>
      <c r="D121" s="5">
        <v>109.8993254893803</v>
      </c>
      <c r="E121">
        <f t="shared" si="2"/>
        <v>1</v>
      </c>
    </row>
    <row r="122" spans="1:5" x14ac:dyDescent="0.3">
      <c r="A122" s="4">
        <v>250</v>
      </c>
      <c r="B122" s="5">
        <v>86.472853170084903</v>
      </c>
      <c r="C122" s="5">
        <v>69.181703976212304</v>
      </c>
      <c r="D122" s="5">
        <v>116.51216306291467</v>
      </c>
      <c r="E122">
        <f t="shared" si="2"/>
        <v>1</v>
      </c>
    </row>
    <row r="123" spans="1:5" x14ac:dyDescent="0.3">
      <c r="A123" s="4">
        <v>253</v>
      </c>
      <c r="B123" s="5">
        <v>87.21768838923262</v>
      </c>
      <c r="C123" s="5">
        <v>70.320931565478986</v>
      </c>
      <c r="D123" s="5">
        <v>119.97235100097156</v>
      </c>
      <c r="E123">
        <f t="shared" si="2"/>
        <v>1</v>
      </c>
    </row>
    <row r="124" spans="1:5" x14ac:dyDescent="0.3">
      <c r="A124" s="4">
        <v>256</v>
      </c>
      <c r="B124" s="5">
        <v>88.147241034509435</v>
      </c>
      <c r="C124" s="5">
        <v>71.560752247036419</v>
      </c>
      <c r="D124" s="5">
        <v>123.17708693384286</v>
      </c>
      <c r="E124">
        <f t="shared" si="2"/>
        <v>1</v>
      </c>
    </row>
    <row r="125" spans="1:5" x14ac:dyDescent="0.3">
      <c r="A125" s="4">
        <v>259</v>
      </c>
      <c r="B125" s="5">
        <v>89.277669810483388</v>
      </c>
      <c r="C125" s="5">
        <v>73.808524238110181</v>
      </c>
      <c r="D125" s="5">
        <v>126.80623933459948</v>
      </c>
      <c r="E125">
        <f t="shared" si="2"/>
        <v>1</v>
      </c>
    </row>
    <row r="126" spans="1:5" x14ac:dyDescent="0.3">
      <c r="A126" s="4">
        <v>262</v>
      </c>
      <c r="B126" s="5">
        <v>89.996669755202632</v>
      </c>
      <c r="C126" s="5">
        <v>74.774694193426114</v>
      </c>
      <c r="D126" s="5">
        <v>131.81725056922528</v>
      </c>
      <c r="E126">
        <f t="shared" si="2"/>
        <v>1</v>
      </c>
    </row>
    <row r="127" spans="1:5" x14ac:dyDescent="0.3">
      <c r="A127" s="4">
        <v>265</v>
      </c>
      <c r="B127" s="5">
        <v>90.398871008137618</v>
      </c>
      <c r="C127" s="5">
        <v>75.810780533075047</v>
      </c>
      <c r="D127" s="5">
        <v>132.76675816754886</v>
      </c>
      <c r="E127">
        <f t="shared" ref="E127:E147" si="3">MOD(A127,3)</f>
        <v>1</v>
      </c>
    </row>
    <row r="128" spans="1:5" x14ac:dyDescent="0.3">
      <c r="A128" s="4">
        <v>268</v>
      </c>
      <c r="B128" s="5">
        <v>91.901524574884903</v>
      </c>
      <c r="C128" s="5">
        <v>77.631470467897543</v>
      </c>
      <c r="D128" s="5">
        <v>136.18903570669198</v>
      </c>
      <c r="E128">
        <f t="shared" si="3"/>
        <v>1</v>
      </c>
    </row>
    <row r="129" spans="1:5" x14ac:dyDescent="0.3">
      <c r="A129" s="4">
        <v>271</v>
      </c>
      <c r="B129" s="5">
        <v>92.964963188937105</v>
      </c>
      <c r="C129" s="5">
        <v>79.29134820551397</v>
      </c>
      <c r="D129" s="5">
        <v>141.02417429690402</v>
      </c>
      <c r="E129">
        <f t="shared" si="3"/>
        <v>1</v>
      </c>
    </row>
    <row r="130" spans="1:5" x14ac:dyDescent="0.3">
      <c r="A130" s="4">
        <v>274</v>
      </c>
      <c r="B130" s="5">
        <v>94.772104361644026</v>
      </c>
      <c r="C130" s="5">
        <v>81.249979390380645</v>
      </c>
      <c r="D130" s="5">
        <v>142.59451030264819</v>
      </c>
      <c r="E130">
        <f t="shared" si="3"/>
        <v>1</v>
      </c>
    </row>
    <row r="131" spans="1:5" x14ac:dyDescent="0.3">
      <c r="A131" s="4">
        <v>277</v>
      </c>
      <c r="B131" s="5">
        <v>97.724614392976193</v>
      </c>
      <c r="C131" s="5">
        <v>81.633096552390029</v>
      </c>
      <c r="D131" s="5">
        <v>144.79329930874053</v>
      </c>
      <c r="E131">
        <f t="shared" si="3"/>
        <v>1</v>
      </c>
    </row>
    <row r="132" spans="1:5" x14ac:dyDescent="0.3">
      <c r="A132" s="4">
        <v>280</v>
      </c>
      <c r="B132" s="5">
        <v>102.89101825990336</v>
      </c>
      <c r="C132" s="5">
        <v>82.847901587463284</v>
      </c>
      <c r="D132" s="5">
        <v>150.35737853107346</v>
      </c>
      <c r="E132">
        <f t="shared" si="3"/>
        <v>1</v>
      </c>
    </row>
    <row r="133" spans="1:5" x14ac:dyDescent="0.3">
      <c r="A133" s="4">
        <v>283</v>
      </c>
      <c r="B133" s="5">
        <v>105.26812377650516</v>
      </c>
      <c r="C133" s="5">
        <v>85.466846934507956</v>
      </c>
      <c r="D133" s="5">
        <v>155.76250326915726</v>
      </c>
      <c r="E133">
        <f t="shared" si="3"/>
        <v>1</v>
      </c>
    </row>
    <row r="134" spans="1:5" x14ac:dyDescent="0.3">
      <c r="A134" s="4">
        <v>286</v>
      </c>
      <c r="B134" s="5">
        <v>109.39136067793395</v>
      </c>
      <c r="C134" s="5">
        <v>86.494814887735686</v>
      </c>
      <c r="D134" s="5">
        <v>161.17341289413733</v>
      </c>
      <c r="E134">
        <f t="shared" si="3"/>
        <v>1</v>
      </c>
    </row>
    <row r="135" spans="1:5" x14ac:dyDescent="0.3">
      <c r="A135" s="4">
        <v>289</v>
      </c>
      <c r="B135" s="5">
        <v>112.9414639346824</v>
      </c>
      <c r="C135" s="5">
        <v>88.156600103067888</v>
      </c>
      <c r="D135" s="5">
        <v>163.39088357803982</v>
      </c>
      <c r="E135">
        <f t="shared" si="3"/>
        <v>1</v>
      </c>
    </row>
    <row r="136" spans="1:5" x14ac:dyDescent="0.3">
      <c r="A136" s="4">
        <v>292</v>
      </c>
      <c r="B136" s="5">
        <v>115.08531489017425</v>
      </c>
      <c r="C136" s="5">
        <v>88.993073127255954</v>
      </c>
      <c r="D136" s="5">
        <v>172.43027935824745</v>
      </c>
      <c r="E136">
        <f t="shared" si="3"/>
        <v>1</v>
      </c>
    </row>
    <row r="137" spans="1:5" x14ac:dyDescent="0.3">
      <c r="A137" s="4">
        <v>295</v>
      </c>
      <c r="B137" s="5">
        <v>117.09773482473679</v>
      </c>
      <c r="C137" s="5">
        <v>89.825911289356952</v>
      </c>
      <c r="D137" s="5">
        <v>174.98533663393016</v>
      </c>
      <c r="E137">
        <f t="shared" si="3"/>
        <v>1</v>
      </c>
    </row>
    <row r="138" spans="1:5" x14ac:dyDescent="0.3">
      <c r="A138" s="4">
        <v>298</v>
      </c>
      <c r="B138" s="5">
        <v>119.19755535711894</v>
      </c>
      <c r="C138" s="5">
        <v>93.04601978490426</v>
      </c>
      <c r="D138" s="5">
        <v>183.55726043317824</v>
      </c>
      <c r="E138">
        <f t="shared" si="3"/>
        <v>1</v>
      </c>
    </row>
    <row r="139" spans="1:5" x14ac:dyDescent="0.3">
      <c r="A139" s="4">
        <v>301</v>
      </c>
      <c r="B139" s="5">
        <v>121.63052724167673</v>
      </c>
      <c r="C139" s="5">
        <v>94.310306600377999</v>
      </c>
      <c r="D139" s="5">
        <v>188.77707686607437</v>
      </c>
      <c r="E139">
        <f t="shared" si="3"/>
        <v>1</v>
      </c>
    </row>
    <row r="140" spans="1:5" x14ac:dyDescent="0.3">
      <c r="A140" s="4">
        <v>304</v>
      </c>
      <c r="B140" s="5">
        <v>123.20998847962956</v>
      </c>
      <c r="C140" s="5">
        <v>95.681399815898246</v>
      </c>
      <c r="D140" s="5">
        <v>202.92957834575029</v>
      </c>
      <c r="E140">
        <f t="shared" si="3"/>
        <v>1</v>
      </c>
    </row>
    <row r="141" spans="1:5" x14ac:dyDescent="0.3">
      <c r="A141" s="4">
        <v>307</v>
      </c>
      <c r="B141" s="5">
        <v>126.37950048465289</v>
      </c>
      <c r="C141" s="5">
        <v>98.58470195730078</v>
      </c>
      <c r="D141" s="5">
        <v>207.59910046442957</v>
      </c>
      <c r="E141">
        <f t="shared" si="3"/>
        <v>1</v>
      </c>
    </row>
    <row r="142" spans="1:5" x14ac:dyDescent="0.3">
      <c r="A142" s="4">
        <v>310</v>
      </c>
      <c r="B142" s="5">
        <v>135.09797410169963</v>
      </c>
      <c r="C142" s="5">
        <v>103.71911589619999</v>
      </c>
      <c r="D142" s="5">
        <v>208.49060634104734</v>
      </c>
      <c r="E142">
        <f t="shared" si="3"/>
        <v>1</v>
      </c>
    </row>
    <row r="143" spans="1:5" x14ac:dyDescent="0.3">
      <c r="A143" s="4">
        <v>313</v>
      </c>
      <c r="B143" s="5">
        <v>149.16714827370103</v>
      </c>
      <c r="C143" s="5">
        <v>104.9622462510884</v>
      </c>
      <c r="D143" s="5">
        <v>221.80755995581148</v>
      </c>
      <c r="E143">
        <f t="shared" si="3"/>
        <v>1</v>
      </c>
    </row>
    <row r="144" spans="1:5" x14ac:dyDescent="0.3">
      <c r="A144" s="4">
        <v>316</v>
      </c>
      <c r="B144" s="5">
        <v>153.77462884372466</v>
      </c>
      <c r="C144" s="5">
        <v>111.48024154510327</v>
      </c>
      <c r="D144" s="5">
        <v>233.19639460013184</v>
      </c>
      <c r="E144">
        <f t="shared" si="3"/>
        <v>1</v>
      </c>
    </row>
    <row r="145" spans="1:5" x14ac:dyDescent="0.3">
      <c r="A145" s="4">
        <v>319</v>
      </c>
      <c r="B145" s="5">
        <v>160.5808526955521</v>
      </c>
      <c r="C145" s="5">
        <v>120.33067188202682</v>
      </c>
      <c r="D145" s="5">
        <v>236.4430733658632</v>
      </c>
      <c r="E145">
        <f t="shared" si="3"/>
        <v>1</v>
      </c>
    </row>
    <row r="146" spans="1:5" x14ac:dyDescent="0.3">
      <c r="A146" s="4">
        <v>322</v>
      </c>
      <c r="B146" s="5">
        <v>164.52962333961437</v>
      </c>
      <c r="C146" s="5">
        <v>131.89120298465113</v>
      </c>
      <c r="D146" s="5">
        <v>241.33571436540308</v>
      </c>
      <c r="E146">
        <f t="shared" si="3"/>
        <v>1</v>
      </c>
    </row>
    <row r="147" spans="1:5" x14ac:dyDescent="0.3">
      <c r="A147" s="4">
        <v>325</v>
      </c>
      <c r="B147" s="5">
        <v>178.07568556318088</v>
      </c>
      <c r="C147" s="5">
        <v>137.49027196040581</v>
      </c>
      <c r="D147" s="5">
        <v>247.47123465037129</v>
      </c>
      <c r="E147">
        <f t="shared" si="3"/>
        <v>1</v>
      </c>
    </row>
    <row r="148" spans="1:5" x14ac:dyDescent="0.3">
      <c r="A148" s="4">
        <v>328</v>
      </c>
      <c r="B148" s="5">
        <v>191.84138580543609</v>
      </c>
      <c r="C148" s="5">
        <v>139.29864482020994</v>
      </c>
      <c r="D148" s="5">
        <v>266.95201579680918</v>
      </c>
      <c r="E148">
        <f t="shared" ref="E148:E158" si="4">MOD(A148,3)</f>
        <v>1</v>
      </c>
    </row>
    <row r="149" spans="1:5" x14ac:dyDescent="0.3">
      <c r="A149" s="4">
        <v>331</v>
      </c>
      <c r="B149" s="5">
        <v>215.21483561333295</v>
      </c>
      <c r="C149" s="5">
        <v>150.00808310715203</v>
      </c>
      <c r="D149" s="5">
        <v>282.95413182674201</v>
      </c>
      <c r="E149">
        <f t="shared" si="4"/>
        <v>1</v>
      </c>
    </row>
    <row r="150" spans="1:5" x14ac:dyDescent="0.3">
      <c r="A150" s="4">
        <v>334</v>
      </c>
      <c r="B150" s="5">
        <v>227.10344966185824</v>
      </c>
      <c r="C150" s="5">
        <v>162.1680636698799</v>
      </c>
      <c r="D150" s="5">
        <v>306.83587986164088</v>
      </c>
      <c r="E150">
        <f t="shared" si="4"/>
        <v>1</v>
      </c>
    </row>
    <row r="151" spans="1:5" x14ac:dyDescent="0.3">
      <c r="A151" s="4">
        <v>337</v>
      </c>
      <c r="B151" s="5">
        <v>260.01485843979282</v>
      </c>
      <c r="C151" s="5">
        <v>183.62856438055874</v>
      </c>
      <c r="D151" s="5">
        <v>330.93732696433966</v>
      </c>
      <c r="E151">
        <f t="shared" si="4"/>
        <v>1</v>
      </c>
    </row>
    <row r="152" spans="1:5" x14ac:dyDescent="0.3">
      <c r="A152" s="4">
        <v>340</v>
      </c>
      <c r="B152" s="5">
        <v>292.28192551159242</v>
      </c>
      <c r="C152" s="5">
        <v>194.57012362158224</v>
      </c>
      <c r="D152" s="5">
        <v>343.95995875264606</v>
      </c>
      <c r="E152">
        <f t="shared" si="4"/>
        <v>1</v>
      </c>
    </row>
    <row r="153" spans="1:5" x14ac:dyDescent="0.3">
      <c r="A153" s="4">
        <v>343</v>
      </c>
      <c r="B153" s="5">
        <v>330.6188479509126</v>
      </c>
      <c r="C153" s="5">
        <v>265.22452372220511</v>
      </c>
      <c r="D153" s="5">
        <v>354.56185519282025</v>
      </c>
      <c r="E153">
        <f t="shared" si="4"/>
        <v>1</v>
      </c>
    </row>
    <row r="154" spans="1:5" x14ac:dyDescent="0.3">
      <c r="A154" s="4">
        <v>346</v>
      </c>
      <c r="B154" s="5">
        <v>344.11843907045068</v>
      </c>
      <c r="C154" s="5">
        <v>315.56477833419154</v>
      </c>
      <c r="D154" s="5">
        <v>414.90536350423912</v>
      </c>
      <c r="E154">
        <f t="shared" si="4"/>
        <v>1</v>
      </c>
    </row>
    <row r="155" spans="1:5" x14ac:dyDescent="0.3">
      <c r="A155" s="4">
        <v>349</v>
      </c>
      <c r="B155" s="5">
        <v>354.94151750608268</v>
      </c>
      <c r="C155" s="5">
        <v>343.29659933585509</v>
      </c>
      <c r="D155" s="5">
        <v>506.84490197195214</v>
      </c>
      <c r="E155">
        <f t="shared" si="4"/>
        <v>1</v>
      </c>
    </row>
    <row r="156" spans="1:5" x14ac:dyDescent="0.3">
      <c r="A156" s="4">
        <v>352</v>
      </c>
      <c r="B156" s="5">
        <v>427.69785106860121</v>
      </c>
      <c r="C156" s="5">
        <v>398.93011480024546</v>
      </c>
      <c r="D156" s="5">
        <v>604.98384451998925</v>
      </c>
      <c r="E156">
        <f t="shared" si="4"/>
        <v>1</v>
      </c>
    </row>
    <row r="157" spans="1:5" x14ac:dyDescent="0.3">
      <c r="A157" s="4">
        <v>355</v>
      </c>
      <c r="B157" s="5">
        <v>484.65879645203722</v>
      </c>
      <c r="C157" s="5">
        <v>478.33645062866105</v>
      </c>
      <c r="D157" s="5">
        <v>770.78962076772189</v>
      </c>
      <c r="E157">
        <f t="shared" si="4"/>
        <v>1</v>
      </c>
    </row>
    <row r="158" spans="1:5" x14ac:dyDescent="0.3">
      <c r="A158" s="4">
        <v>358</v>
      </c>
      <c r="B158" s="5">
        <v>741.39498838162729</v>
      </c>
      <c r="C158" s="5">
        <v>730.43408597476571</v>
      </c>
      <c r="D158" s="5">
        <v>1062.7143055585168</v>
      </c>
      <c r="E158">
        <f t="shared" si="4"/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Spinner 1">
              <controlPr defaultSize="0" autoPict="0">
                <anchor moveWithCells="1" sizeWithCells="1">
                  <from>
                    <xdr:col>14</xdr:col>
                    <xdr:colOff>190500</xdr:colOff>
                    <xdr:row>0</xdr:row>
                    <xdr:rowOff>38100</xdr:rowOff>
                  </from>
                  <to>
                    <xdr:col>14</xdr:col>
                    <xdr:colOff>335280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Valor Esperado E.</vt:lpstr>
      <vt:lpstr>CVaR 30|05</vt:lpstr>
      <vt:lpstr>CVaR Cluster 1</vt:lpstr>
      <vt:lpstr>CVaR Cluster 2</vt:lpstr>
      <vt:lpstr>CVaR Cluster 3</vt:lpstr>
      <vt:lpstr>CVaR Cluster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Victtor Moraes</dc:creator>
  <cp:lastModifiedBy>Victtor Moraes</cp:lastModifiedBy>
  <dcterms:created xsi:type="dcterms:W3CDTF">2023-11-28T01:48:30Z</dcterms:created>
  <dcterms:modified xsi:type="dcterms:W3CDTF">2023-12-14T13:27:16Z</dcterms:modified>
</cp:coreProperties>
</file>